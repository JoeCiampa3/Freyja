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&amp; Conventions" sheetId="1" r:id="rId5"/>
    <sheet state="visible" name="BSIP Reference" sheetId="2" r:id="rId6"/>
    <sheet state="visible" name="Validation" sheetId="3" r:id="rId7"/>
    <sheet state="visible" name="Joint Sources &amp; Conventions" sheetId="4" r:id="rId8"/>
    <sheet state="visible" name="Joint Definitions" sheetId="5" r:id="rId9"/>
    <sheet state="visible" name="Joint ROM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5">
      <text>
        <t xml:space="preserve">Signed value. SIGN(r) in formula preserves product-of-inertia sign. (i) = negative in Dumas notation.</t>
      </text>
    </comment>
    <comment authorId="0" ref="P14">
      <text>
        <t xml:space="preserve">Signed value. SIGN(r) in formula preserves product-of-inertia sign. (i) = negative in Dumas notation.</t>
      </text>
    </comment>
    <comment authorId="0" ref="P13">
      <text>
        <t xml:space="preserve">Signed value. SIGN(r) in formula preserves product-of-inertia sign. (i) = negative in Dumas notation.</t>
      </text>
    </comment>
    <comment authorId="0" ref="P12">
      <text>
        <t xml:space="preserve">Signed value. SIGN(r) in formula preserves product-of-inertia sign. (i) = negative in Dumas notation.</t>
      </text>
    </comment>
    <comment authorId="0" ref="P11">
      <text>
        <t xml:space="preserve">Signed value. SIGN(r) in formula preserves product-of-inertia sign. (i) = negative in Dumas notation.</t>
      </text>
    </comment>
    <comment authorId="0" ref="P10">
      <text>
        <t xml:space="preserve">Signed value. SIGN(r) in formula preserves product-of-inertia sign. (i) = negative in Dumas notation.</t>
      </text>
    </comment>
    <comment authorId="0" ref="P9">
      <text>
        <t xml:space="preserve">Signed value. SIGN(r) in formula preserves product-of-inertia sign. (i) = negative in Dumas notation.</t>
      </text>
    </comment>
    <comment authorId="0" ref="P8">
      <text>
        <t xml:space="preserve">Signed. (i)=negative per Dumas notation. SIGN() formula in inertia columns handles.</t>
      </text>
    </comment>
    <comment authorId="0" ref="P7">
      <text>
        <t xml:space="preserve">Signed. (i)=negative per Dumas notation. SIGN() formula in inertia columns handles.</t>
      </text>
    </comment>
    <comment authorId="0" ref="P6">
      <text>
        <t xml:space="preserve">Signed value. SIGN(r) in formula preserves product-of-inertia sign. (i) = negative in Dumas notation.</t>
      </text>
    </comment>
    <comment authorId="0" ref="P5">
      <text>
        <t xml:space="preserve">Formula: I_ij = SIGN(r_ij) * m * (r_ij/100 * L_mm/1000)^2
Enter r_ij with sign: negative for (i) entries per Dumas notation.
Verified against Dumas (2007) p.549: r_ij = (1/L)*sqrt(I_ij/m)</t>
      </text>
    </comment>
    <comment authorId="0" ref="V5">
      <text>
        <t xml:space="preserve">I_ij = SIGN(r_ij)*m*(r_ij*L)^2. Confirm sign convention against Dumas (2007) inertia-matrix eq.</t>
      </text>
    </comment>
    <comment authorId="0" ref="E9">
      <text>
        <t xml:space="preserve">Dumas (2007) female, pelvis row of Table 1. Transcribe; do not estimate.</t>
      </text>
    </comment>
  </commentList>
</comments>
</file>

<file path=xl/sharedStrings.xml><?xml version="1.0" encoding="utf-8"?>
<sst xmlns="http://schemas.openxmlformats.org/spreadsheetml/2006/main" count="463" uniqueCount="329">
  <si>
    <t>Freyja — Anthropometric Reference: Body Segment Inertial Parameters</t>
  </si>
  <si>
    <t>Purpose</t>
  </si>
  <si>
    <t>Single source of truth for segment mass, centre-of-mass, and full inertia tensor. Every CAD/control decision references these values. Normalized parameters live here once; the 170 cm / 65 kg instantiation is computed by formula so a stature or mass change propagates from one cell.</t>
  </si>
  <si>
    <t>INSTANTIATION</t>
  </si>
  <si>
    <t>Total body mass</t>
  </si>
  <si>
    <t>65 kg  (set on 'BSIP Reference' B1 — blue input)</t>
  </si>
  <si>
    <t>Stature</t>
  </si>
  <si>
    <t>1700 mm  (set on 'BSIP Reference' B2 — blue input)</t>
  </si>
  <si>
    <t>Population provenance</t>
  </si>
  <si>
    <t>Dumas (2007) female = adjusted from Young et al. (1983), USAF women. Young, fit cohort — NOT a population-median female. Document deviations against this, do not assume it is a median.</t>
  </si>
  <si>
    <t>COORDINATE SYSTEM (ISB / Dumas segment frames)</t>
  </si>
  <si>
    <t>Axes (right-handed)</t>
  </si>
  <si>
    <t>+x anterior, +y cranial (up), +z to the subject's right.</t>
  </si>
  <si>
    <t>Pelvis frame</t>
  </si>
  <si>
    <t>Origin = right hip joint centre. x = anterior, normal to the plane of the two ASIS and the PSIS midpoint. z = parallel to the inter-ASIS line, pointing right. y = up, completing the triad. Build the Fusion pelvis CSYS to match this so the CoM vector and tensor drop in with no re-rotation.</t>
  </si>
  <si>
    <t>Each segment</t>
  </si>
  <si>
    <t>has its own SCS per Dumas/ISB. CoM vectors and tensors are expressed in that segment's frame — match each Fusion segment CSYS to its Dumas frame.</t>
  </si>
  <si>
    <t>Reference pose</t>
  </si>
  <si>
    <t>Anatomical neutral standing. Joint angle sign conventions per ISB JCS (adopt Grood-Suntay for the knee when that row is added).</t>
  </si>
  <si>
    <t>UNITS POLICY</t>
  </si>
  <si>
    <t>Mass</t>
  </si>
  <si>
    <t>kg</t>
  </si>
  <si>
    <t>Length / CoM offsets</t>
  </si>
  <si>
    <t>mm (CAD-native)</t>
  </si>
  <si>
    <t>Inertia</t>
  </si>
  <si>
    <t>kg·m²  (biomech/sim standard; ×1e6 → kg·mm² for Fusion if needed)</t>
  </si>
  <si>
    <t>Dumas normalized inputs</t>
  </si>
  <si>
    <t>Enter EXACTLY as published: mass as fraction of body mass; CoM and radii of gyration as PERCENT of segment length (the sheet divides by 100). Entering them as published = fewest transcription transforms = fewest errors.</t>
  </si>
  <si>
    <t>SOURCE COMMITMENT (locked)</t>
  </si>
  <si>
    <t>Mass / CoM / inertia tensor</t>
  </si>
  <si>
    <t>Dumas (2007) female — PRIMARY. + Corrigendum 2007b for Head &amp; Neck. + Dumas (2015) for Thorax &amp; Abdomen. de Leva female = cross-check (limbs only — see below).</t>
  </si>
  <si>
    <t>Hip joint centre</t>
  </si>
  <si>
    <t>Harrington (2007), pelvic-dimension regression — PRIMARY. Bell (1990) = secondary cross-check.</t>
  </si>
  <si>
    <t>Knee / ankle JC</t>
  </si>
  <si>
    <t>Landmark midpoints (femoral epicondyles / malleoli), not a regression.</t>
  </si>
  <si>
    <t>Range of motion</t>
  </si>
  <si>
    <t>Anatomical ceiling: Boone &amp; Azen / AAOS. Functional target: gait/stair/sit-to-stand kinematics. Keep as two columns.</t>
  </si>
  <si>
    <t>External body dimensions</t>
  </si>
  <si>
    <t>MakeHuman mesh = authoritative (envelope-first). ANSUR II female = reality-check on the mesh's driving girths/breadths.</t>
  </si>
  <si>
    <t>Segment density</t>
  </si>
  <si>
    <t>Derived sanity read-out from Fusion mass properties, not an independent target. Dempster/Winter values for eyeballing only.</t>
  </si>
  <si>
    <t>KEY CAVEATS</t>
  </si>
  <si>
    <t>Product-of-inertia sign</t>
  </si>
  <si>
    <t>Sheet uses  I_ij = SIGN(r_ij)·m·(r_ij·L)²  with r_ij the signed off-diagonal radius of gyration (% of L). CONFIRM this against Dumas (2007) inertia-matrix equation before trusting the products — the sign is the single easiest term to get wrong.</t>
  </si>
  <si>
    <t>de Leva cross-check</t>
  </si>
  <si>
    <t>Clean only for limb segments. de Leva carries one trunk segment; Dumas splits Thorax/Abdomen/Pelvis. For the trunk, compare LUMPED (sum Dumas's three) — not row-by-row.</t>
  </si>
  <si>
    <t>Pelvis SEGMENT mass ≠ structural mass</t>
  </si>
  <si>
    <t>Dumas 'pelvis' is the whole biomechanical segment: bone + gluteal/pelvic soft tissue + lower viscera. The target is Freyja's ENTIRE pelvis segment (structure + battery + flesh + skin), NOT the ~8 kg structural assembly alone. Do not compare 8 kg of hardware to the Dumas segment mass directly.</t>
  </si>
  <si>
    <t>Pelvis length definition</t>
  </si>
  <si>
    <t>Dumas normalizes the pelvis by its segment length = hip-JC midpoint to the lumbosacral (L5/S1) joint centre. Pin this exact endpoint from the paper before instantiating — pelvis length varies most by definition between sources.</t>
  </si>
  <si>
    <t>HOW TO USE</t>
  </si>
  <si>
    <t>1</t>
  </si>
  <si>
    <t>Fill the YELLOW cells on 'BSIP Reference': segment length L (from MakeHuman/your geometry) and the Dumas normalized values (transcribe from your copy of the paper).</t>
  </si>
  <si>
    <t>2</t>
  </si>
  <si>
    <t>Targets (mass kg, CoM mm, inertia kg·m²) compute automatically.</t>
  </si>
  <si>
    <t>3</t>
  </si>
  <si>
    <t>On 'Validation', paste Fusion mass-properties into the YELLOW achieved cells; deviations compute. Log any deliberate departure from biology with magnitude + expected control cost.</t>
  </si>
  <si>
    <t>4</t>
  </si>
  <si>
    <t>Check the count-weighted mass-fraction sum (≈1.000) reconstructs body mass — your transcription tripwire.</t>
  </si>
  <si>
    <t>Colour key</t>
  </si>
  <si>
    <t>Blue = hardcoded input   •   Black = formula   •   Green = link to another sheet   •   Yellow fill = needs your entry</t>
  </si>
  <si>
    <t>Total body mass (kg)</t>
  </si>
  <si>
    <t>Stature (mm)</t>
  </si>
  <si>
    <t>PER-SEGMENT BSIP — Dumas (2007/2015) female, instantiated for the values above</t>
  </si>
  <si>
    <t>Segment</t>
  </si>
  <si>
    <t>Count</t>
  </si>
  <si>
    <t>Source / version</t>
  </si>
  <si>
    <t>L (mm)</t>
  </si>
  <si>
    <t>Mass
frac</t>
  </si>
  <si>
    <t>Mass
target (kg)</t>
  </si>
  <si>
    <t>CoM x
(%L,+ant)</t>
  </si>
  <si>
    <t>CoM y
(%L,+up)</t>
  </si>
  <si>
    <t>CoM z
(%L,+R)</t>
  </si>
  <si>
    <t>CoM x
(mm)</t>
  </si>
  <si>
    <t>CoM y
(mm)</t>
  </si>
  <si>
    <t>CoM z
(mm)</t>
  </si>
  <si>
    <t>rg x
(%L)</t>
  </si>
  <si>
    <t>rg y
(%L)</t>
  </si>
  <si>
    <t>rg z
(%L)</t>
  </si>
  <si>
    <t>rg xy
(%L,±)</t>
  </si>
  <si>
    <t>rg yz
(%L,±)</t>
  </si>
  <si>
    <t>rg xz
(%L,±)</t>
  </si>
  <si>
    <t>Ixx
(kg·m²)</t>
  </si>
  <si>
    <t>Iyy
(kg·m²)</t>
  </si>
  <si>
    <t>Izz
(kg·m²)</t>
  </si>
  <si>
    <t>Ixy
(kg·m²,±)</t>
  </si>
  <si>
    <t>Iyz
(kg·m²,±)</t>
  </si>
  <si>
    <t>Ixz
(kg·m²,±)</t>
  </si>
  <si>
    <t>Notes</t>
  </si>
  <si>
    <t>Head &amp; Neck</t>
  </si>
  <si>
    <t>Dumas 2007 + corrig. 2007b ✓</t>
  </si>
  <si>
    <t>CORRIGENDUM (2007b) values — NOT original 2007 Table 2. L=253 F. Origin=CJC. rxy=4(i)=negative.</t>
  </si>
  <si>
    <t>Thorax</t>
  </si>
  <si>
    <t>Dumas 2015 ✓</t>
  </si>
  <si>
    <t>Dumas (2015). Replaces Dumas 2007 combined 'Torso' row. L=313mm (CJC to TJC). Origin=CJC. Cross-check: comY=-52.8%×313=-165.3mm; Table 1 COM Y=-165mm ✓. Mass 26.3%+Abdomen 4.1%=30.4% = 2007 Torso exactly ✓. rxy=12(i)=negative. rxz=3(i)=negative.</t>
  </si>
  <si>
    <t>Abdomen</t>
  </si>
  <si>
    <t>Dumas (2015). NEW segment — no 2007 equivalent. L=121mm (TJC to LJC). Origin=TJC. Segment covers trunk below 10th ribs to iliocristales (~L1–L4 level). NOT equivalent to de Leva 'middle trunk'. Cross-check: comY=-41.5%×121=-50.2mm; Table 1 COM Y=-50mm ✓. rxz=3(i)=negative. ryz=5(i)=negative.</t>
  </si>
  <si>
    <t>Pelvis</t>
  </si>
  <si>
    <t>Dumas 2007 ✓</t>
  </si>
  <si>
    <t>ACTIVE WORKSTREAM. L=107 mm (LJC → projection of HJC in sagittal plane). Alternative: L=Pelvis Width (RASIS-LASIS). Origin=LJC. Segment mass covers entire pelvis segment (bone + soft tissue + hardware + battery + flesh + skin) — NOT the ~8 kg structural assembly alone. CoM y=−23.2% of L below LJC (posterior/inferior). CoM x=−0.9% (very small AP offset). rxy=34(i)=negative. rxz=10(i)=negative. ryz=1(i)=negative.</t>
  </si>
  <si>
    <t>Upper Arm</t>
  </si>
  <si>
    <t>Dumas 2007, Arm segment. L=243 F. Origin=SJC. rxz=5(i)=negative. ryz=4(i)=negative.</t>
  </si>
  <si>
    <t>Forearm</t>
  </si>
  <si>
    <t>Dumas 2007. L=271 F. Origin=EJC.</t>
  </si>
  <si>
    <t>Hand</t>
  </si>
  <si>
    <t>Dumas 2007. L=283 F (WJC to midpoint MH2-MH5). Origin=WJC. ryz=1(i)=negative.</t>
  </si>
  <si>
    <t>Thigh</t>
  </si>
  <si>
    <t>Dumas 2007. L=432 F. Origin=HJC. ryz=7(i)=negative.</t>
  </si>
  <si>
    <t>Leg (shank)</t>
  </si>
  <si>
    <t>Dumas 2007. L=388 F. Origin=KJC. ryz=2(i)=negative.</t>
  </si>
  <si>
    <t>Foot</t>
  </si>
  <si>
    <t>Dumas 2007. L=165 F (AJC to midpoint MH1-MHV). Origin=AJC. rxy=6(i)=negative. ryz=4(i)=negative.</t>
  </si>
  <si>
    <t>Σ count-weighted mass fraction</t>
  </si>
  <si>
    <t>Reconstructed mass (col F) should ≈ total body mass once all fractions are entered. Transcription tripwire.</t>
  </si>
  <si>
    <t>Validation — target (from BSIP Reference) vs achieved (from Fusion mass properties)</t>
  </si>
  <si>
    <t>Paste Fusion values into yellow 'ach' cells. Deviations compute. Log deliberate departures in the rightmost column.</t>
  </si>
  <si>
    <t>Mass (kg)</t>
  </si>
  <si>
    <t>CoM x (mm)</t>
  </si>
  <si>
    <t>CoM y (mm)</t>
  </si>
  <si>
    <t>CoM z (mm)</t>
  </si>
  <si>
    <t>Ixx (kg·m²)</t>
  </si>
  <si>
    <t>Iyy (kg·m²)</t>
  </si>
  <si>
    <t>Izz (kg·m²)</t>
  </si>
  <si>
    <t>tgt</t>
  </si>
  <si>
    <t>ach</t>
  </si>
  <si>
    <t>Δ</t>
  </si>
  <si>
    <t>Deviation log / notes</t>
  </si>
  <si>
    <t>Target CoM y/x are the reference for the post-spinal-interface weighted-CoM check. Recall current blue marker ~71 mm posterior of anterior ASIS, ~57% from anterior skin — log AP deviation + control cost here.</t>
  </si>
  <si>
    <t>Freyja — Joint Definitions: Sources &amp; Conventions</t>
  </si>
  <si>
    <t>FRAMEWORK COMMITMENT (locked)</t>
  </si>
  <si>
    <t>JCS framework</t>
  </si>
  <si>
    <t>ISB Joint Coordinate System. Anchors every joint frame + sign convention. Keeps the joint sheet coherent with the Dumas segment frames the BSIP values already live in.</t>
  </si>
  <si>
    <t>Joint centres — default</t>
  </si>
  <si>
    <t>Reed et al. (1999) regressions for trunk centres (CJC, TJC, SJC, LJC). Female coefficients already completed in your Dumas (2007) appendix — pull from there, not Reed directly.</t>
  </si>
  <si>
    <t>Joint centres — override</t>
  </si>
  <si>
    <t>Harrington et al. (2007) for the HJC. Better-validated, pelvic-geometry driven. Reed↔Harrington HJC offset (few mm) logged as a deviation, not silently absorbed.</t>
  </si>
  <si>
    <t>Other JCs</t>
  </si>
  <si>
    <t>Knee/ankle/elbow/wrist = landmark midpoints (epicondyles, malleoli, styloids), per ISB SCS definitions — not regressions.</t>
  </si>
  <si>
    <t>ROM — anatomical ceiling</t>
  </si>
  <si>
    <t>Soucie et al. (2011), female-inclusive. Boone &amp; Azen (1979) secondary/historical (male-only — population mismatch).</t>
  </si>
  <si>
    <t>ROM — functional target</t>
  </si>
  <si>
    <t>Winter (level gait, you have it); Riener et al. (2002) for stair descent/ascent; task kinematics per movement.</t>
  </si>
  <si>
    <t>FRAME COHERENCE RULE</t>
  </si>
  <si>
    <t>Joint frames MUST match the Dumas SCS the BSIP tensors are expressed in. A joint frame defined differently than its segment frame = every inertia number off by a transform. This is the whole reason ISB was chosen.</t>
  </si>
  <si>
    <t>VERIFIED CITATIONS (DOIs confirmed from primary sources)</t>
  </si>
  <si>
    <t>Source</t>
  </si>
  <si>
    <t>Title (abbrev.)</t>
  </si>
  <si>
    <t>Year / venue</t>
  </si>
  <si>
    <t>DOI / PMID</t>
  </si>
  <si>
    <t>Used for</t>
  </si>
  <si>
    <t>Wu et al. 2002</t>
  </si>
  <si>
    <t>ISB JCS part I: ankle, hip, spine</t>
  </si>
  <si>
    <t>J Biomech 35(4):543–548</t>
  </si>
  <si>
    <t>10.1016/s0021-9290(01)00222-6</t>
  </si>
  <si>
    <t>Frames: hip, ankle, lumbosacral, spine</t>
  </si>
  <si>
    <t>Wu et al. 2005</t>
  </si>
  <si>
    <t>ISB JCS part II: shoulder, elbow, wrist, hand</t>
  </si>
  <si>
    <t>J Biomech 38(5):981–992</t>
  </si>
  <si>
    <t>10.1016/j.jbiomech.2004.05.042</t>
  </si>
  <si>
    <t>Frames: upper limb (later)</t>
  </si>
  <si>
    <t>Grood &amp; Suntay 1983</t>
  </si>
  <si>
    <t>JCS for 3D motion: knee</t>
  </si>
  <si>
    <t>J Biomech Eng 105(2):136–144</t>
  </si>
  <si>
    <t>10.1115/1.3138397</t>
  </si>
  <si>
    <t>Frame + rotation sequence: knee</t>
  </si>
  <si>
    <t>Reed et al. 1999</t>
  </si>
  <si>
    <t>Measuring/representing occupant posture</t>
  </si>
  <si>
    <t>SAE 1999-01-0959</t>
  </si>
  <si>
    <t>10.4271/1999-01-0959</t>
  </si>
  <si>
    <t>Trunk JC method (female coeffs in Dumas appx)</t>
  </si>
  <si>
    <t>Harrington et al. 2007</t>
  </si>
  <si>
    <t>Prediction of the hip joint centre (MRI)</t>
  </si>
  <si>
    <t>J Biomech 40(3):595–602</t>
  </si>
  <si>
    <t>10.1016/j.jbiomech.2006.02.003</t>
  </si>
  <si>
    <t>HJC override (primary)</t>
  </si>
  <si>
    <t>Soucie et al. 2011</t>
  </si>
  <si>
    <t>ROM reference values &amp; database</t>
  </si>
  <si>
    <t>Haemophilia 17(3):500–507</t>
  </si>
  <si>
    <t>10.1111/j.1365-2516.2010.02399.x</t>
  </si>
  <si>
    <t>ROM anatomical ceiling (primary)</t>
  </si>
  <si>
    <t>Boone &amp; Azen 1979</t>
  </si>
  <si>
    <t>Normal ROM of joints in male subjects</t>
  </si>
  <si>
    <t>JBJS Am 61(5):756–759</t>
  </si>
  <si>
    <t>PMID 457719</t>
  </si>
  <si>
    <t>ROM ceiling (secondary; male-only)</t>
  </si>
  <si>
    <t>Riener et al. 2002</t>
  </si>
  <si>
    <t>Stair ascent/descent at different inclinations</t>
  </si>
  <si>
    <t>Gait Posture 15(1):32–44</t>
  </si>
  <si>
    <t>10.1016/s0966-6362(01)00162-x</t>
  </si>
  <si>
    <t>ROM functional (stairs)</t>
  </si>
  <si>
    <t>CONVENTIONS</t>
  </si>
  <si>
    <t>Rotation sequence</t>
  </si>
  <si>
    <t>ISB Cardan/Euler per joint. Grood–Suntay floating-axis convention: e1 = flexion axis fixed in proximal segment; e3 = long axis fixed in distal segment; e2 = floating axis (e3 × e1), carries ab/adduction.</t>
  </si>
  <si>
    <t>Sign conventions</t>
  </si>
  <si>
    <t>+ flexion, + adduction, + internal rotation (right side); mirror for left. State explicit per joint in the Definitions sheet — do not assume.</t>
  </si>
  <si>
    <t>Anatomical neutral standing = all joint angles zero.</t>
  </si>
  <si>
    <t>Units</t>
  </si>
  <si>
    <t>Angles in degrees. JC coordinates in mm, expressed in the PROXIMAL segment frame. ROM in degrees.</t>
  </si>
  <si>
    <t>Soucie = mixed-sex, ages 2–69. Boone &amp; Azen = male only. Reed/Dumas = young adult. Harrington = mixed adults+children, MRI. Document, don't assume median.</t>
  </si>
  <si>
    <t>Joint</t>
  </si>
  <si>
    <t>Proximal
segment</t>
  </si>
  <si>
    <t>Distal
segment</t>
  </si>
  <si>
    <t>JC source
(policy)</t>
  </si>
  <si>
    <t>JC placement /
regression</t>
  </si>
  <si>
    <t>SCS origin</t>
  </si>
  <si>
    <t>e1 axis (proximal)
+ motion</t>
  </si>
  <si>
    <t>e2 axis (floating)
+ motion</t>
  </si>
  <si>
    <t>e3 axis (distal)
+ motion</t>
  </si>
  <si>
    <t>Rotation
sequence</t>
  </si>
  <si>
    <t>Axis obliquity /
non-orthogonality</t>
  </si>
  <si>
    <t>Freyja status /
deviation log</t>
  </si>
  <si>
    <t>Hip</t>
  </si>
  <si>
    <t>Harrington 2007 (override)</t>
  </si>
  <si>
    <t>HJC via Harrington (2007) single-variable regression (eq 5–7), RIGHT hip, mm, in the ASIS-midpoint pelvic frame (x ant, y sup, z right):
  x̂ = −0.24·PD − 9.9   (antero-posterior)
  ŷ = −0.30·PW − 10.9  (supero-inferior)
  ẑ = +0.33·PW + 7.3   (medio-lateral)
LEFT hip: negate ẑ. PW = inter-ASIS width; PD = ASIS-midpoint→PSIS-midpoint distance. ORIGIN = midpoint of the two ASIS (NOT the HJC). The located HJC then becomes the origin of the Wu/Dumas pelvic JCS frame. LOOCV error ≈5 mm (AP), ≈4 mm (SI, ML). Multi-var alt for y: ŷ=−0.16·PW−0.04·LL−7.1.</t>
  </si>
  <si>
    <t>Right (or left) hip joint centre (HJC)</t>
  </si>
  <si>
    <t>Z (pelvic CS): ∥ line joining R &amp; L ASIS, points right. Rotation α = flexion / extension</t>
  </si>
  <si>
    <t>Floating axis ⊥ e1 &amp; e3. Rotation β = adduction / abduction</t>
  </si>
  <si>
    <t>y (femoral CS): FE-midpoint → HJC, points cranial. Rotation γ = internal / external rotation</t>
  </si>
  <si>
    <t>e1→e2→e3: Z (flex/ext) → floating (add/abd) → y (int/ext rot)</t>
  </si>
  <si>
    <t>Right-handed frames as defined. Wu 2002 gives no explicit polarity for hip; adopt JCS standard: +flexion about +Z, +adduction, +internal rotation (right); mirror left.</t>
  </si>
  <si>
    <t>Ball-and-socket; 3 rotational DOF treated as orthogonal in the JCS. No obliquity correction.</t>
  </si>
  <si>
    <t>Pelvic CS = Dumas pelvis SCS exactly → coherent with BSIP, no transform. HJC LOCATED via Harrington 2007 (eq 5–7); output is relative to the ASIS-midpoint, and that located point becomes the JCS/BSIP frame origin. CROSS-CHECK vs locked inter-HJC 173.2 mm: inter-HJC = 0.66·PW + 14.6 ⇒ implies inter-ASIS PW ≈ 240 mm (each HJC 86.6 mm lateral of ASIS midpoint). Verify against CAD/MakeHuman pelvic width before joint freeze. Note: Harrington needs PD &amp; PW — soft-tissue-biased in gait labs, but you have TRUE bony values from CAD, so it is cleaner for Freyja than for its validation population.</t>
  </si>
  <si>
    <t>Wu 2002 + Harrington</t>
  </si>
  <si>
    <t>Knee</t>
  </si>
  <si>
    <t>Landmark midpoint (epicondyles)</t>
  </si>
  <si>
    <t>KJC = femoral epicondyle midpoint (motion-analysis convention, matches policy). G&amp;S original locates origins on the mechanical axes through the intercondylar points (from biplanar X-ray); for Freyja use the epicondyle-midpoint KJC to stay coherent with the Dumas thigh/shank frames.</t>
  </si>
  <si>
    <t>KJC = femoral epicondyle midpoint. [G&amp;S original: tibial mechanical axis where it crosses subchondral bone between the intercondylar eminences.]</t>
  </si>
  <si>
    <t>e1 = femoral mediolateral axis (through condyles/epicondyles), fixed in femur, points right. Rotation α = flexion (+) / extension (−). [G&amp;S label: e1 = I; reference e1ʳ = J anterior]</t>
  </si>
  <si>
    <t>e2 = floating axis = (e3 × e1)/|e3 × e1|, common perpendicular. Rotation β = abduction (+) / adduction (−). Magnitude via cos β = I·k; sign is side-dependent (R: adduction = β − π/2; L: π/2 − β).</t>
  </si>
  <si>
    <t>e3 = tibial long (mechanical) axis, fixed in tibia, points proximal. Rotation γ = external rotation (+) / internal rotation (−). [G&amp;S label: e3 = k; reference e3ʳ = j anterior]</t>
  </si>
  <si>
    <t>e1→e2→e3: flexion (femoral ML) → ab/adduction (floating) → int/ext rotation (tibial long axis). SEQUENCE-INDEPENDENT — the central G&amp;S result: JCS angles do not depend on decomposition order (unlike Euler angles).</t>
  </si>
  <si>
    <t>Per G&amp;S Fig 3 (right knee): flexion +, abduction +, external rotation +. Side-dependent flips for ab/adduction and tibial rotation (L vs R). Translations: lateral tibial shift q1 +, anterior drawer q2 +, joint distraction q3 +.</t>
  </si>
  <si>
    <t>Flexion axis e1 is NOT the screw axis — the screw/helical axis is skewed (it combines tibial rotation + adduction with flexion). G&amp;S deliberately separate the clinical flexion axis from the screw axis. e1 ⊥ e3 only at neutral; off-neutral the system is non-orthogonal, coupling translations (e.g. distraction along e3 also shifts ML). Singularity at β=0 (90° abduction) / gimbal lock — non-issue for the knee, but watch it at the shoulder.</t>
  </si>
  <si>
    <t>FRAMEWORK SOURCE for the whole sheet — every other joint inherits this e1/e2/e3 floating-axis JCS. Build the femoral &amp; tibial Cartesian frames as the Dumas thigh/shank segment frames for BSIP coherence (e1 = ML/right axis, e3 = long/proximal axis). NB: G&amp;S's 'four-link cylindrical chain' (Fig 6) is the JCS's kinematic abstraction — distinct from your anatomical crossed-four-bar ACL/PCL knee linkage; don't conflate.</t>
  </si>
  <si>
    <t>Ankle (talocrural)</t>
  </si>
  <si>
    <t>Landmark midpoint (malleoli)</t>
  </si>
  <si>
    <t>Origin = IM (inter-malleolar point, midway MM–LM tips). Landmark midpoint, per ISB.</t>
  </si>
  <si>
    <t>IM — inter-malleolar point (midway MM–LM)</t>
  </si>
  <si>
    <t>Z (tibia/fibula CS): line MM→LM, points right. Rotation α = dorsiflexion (+) / plantarflexion (−)</t>
  </si>
  <si>
    <t>Floating axis ⊥ e1 &amp; e3. Rotation β = inversion (+) / eversion (−)</t>
  </si>
  <si>
    <t>y (calcaneus CS): long axis of tibia/fibula in neutral, points cranial. Rotation γ = internal (+) / external (−) rotation</t>
  </si>
  <si>
    <t>e1→e2→e3: Z (dorsi/plantar) → floating (inv/ev) → y (int/ext rot)</t>
  </si>
  <si>
    <t>Dorsiflexion +, inversion +, internal rotation + (right). Translations: lateral shift +, anterior drawer +, compression +.</t>
  </si>
  <si>
    <t>This is the ANKLE COMPLEX (talocrural + subtalar LUMPED) — ISB deferred separate talocrural/subtalar standards. Real talocrural &amp; subtalar axes are oblique; matters when the ankle is split for actuation.</t>
  </si>
  <si>
    <t>Foot-to-shank lumped complex. For Freyja's actuated ankle, decide: model talocrural + subtalar separately (oblique axes) vs lumped single axis.</t>
  </si>
  <si>
    <t>Wu 2002</t>
  </si>
  <si>
    <t>Lumbosacral (L5/S1)</t>
  </si>
  <si>
    <t>Reed 1999 / Dumas appx (LJC)</t>
  </si>
  <si>
    <t>Origin = LJC (lumbar joint centre). From Reed 1999 / Dumas female appendix.</t>
  </si>
  <si>
    <t>LJC (proximal joint centre); regional application of intervertebral JCS</t>
  </si>
  <si>
    <t>Z (proximal segment CS): ∥ pedicle-base line, points right. Rotation α = flexion / extension</t>
  </si>
  <si>
    <t>Floating axis ⊥ e1 &amp; e3. Rotation β = lateral bending</t>
  </si>
  <si>
    <t>y (distal segment CS): through vertebral endplate centres, points cephalad. Rotation γ = axial rotation</t>
  </si>
  <si>
    <t>e1→e2→e3: Z (flex/ext) → floating (lateral bend) → y (axial rot)</t>
  </si>
  <si>
    <t>Right-handed as defined. Wu 2002 spine assigns no explicit polarity; adopt +flexion, +right lateral bending, +rightward axial rotation.</t>
  </si>
  <si>
    <t>CRITICAL: intervertebral joints have NO fixed axis — only an instantaneous axis of rotation. 6-DOF with coupling (off-diagonal stiffness; Panjabi 1976). Helical axis is the alternative. Regional value = summation over levels.</t>
  </si>
  <si>
    <t>Directly relevant to continuum-spine work: ISB itself treats spine motion as no-fixed-axis + coupled DOF. If the spine participates in balance, this coupling must be present in the MuJoCo model.</t>
  </si>
  <si>
    <t>Wu 2002 + Dumas</t>
  </si>
  <si>
    <t>Thoracolumbar (TJC)</t>
  </si>
  <si>
    <t>Dumas 2015 (TJC)</t>
  </si>
  <si>
    <t>Origin = TJC (thoracic joint centre). From Dumas 2015.</t>
  </si>
  <si>
    <t>TJC (proximal joint centre); regional intervertebral JCS</t>
  </si>
  <si>
    <t>Spine JCS (regional). TJC from Dumas 2015 — coherent with BSIP thorax/abdomen frames.</t>
  </si>
  <si>
    <t>Wu 2002 + Dumas 2015</t>
  </si>
  <si>
    <t>Cervical (CJC)</t>
  </si>
  <si>
    <t>Reed 1999 / Dumas appx (CJC)</t>
  </si>
  <si>
    <t>Origin = CJC (cervical joint centre). From Reed 1999 / Dumas female appendix.</t>
  </si>
  <si>
    <t>CJC (proximal joint centre); regional intervertebral JCS</t>
  </si>
  <si>
    <t>Spine JCS (regional). CJC from Reed/Dumas.</t>
  </si>
  <si>
    <t>Shoulder (GH)</t>
  </si>
  <si>
    <t>Reed 1999 / Dumas appx (SJC)</t>
  </si>
  <si>
    <t>Wu 2005 + Dumas</t>
  </si>
  <si>
    <t>Elbow</t>
  </si>
  <si>
    <t>Wu 2005</t>
  </si>
  <si>
    <t>Wrist</t>
  </si>
  <si>
    <t>Landmark midpoint (styloids)</t>
  </si>
  <si>
    <t>Pre-filled (blue-grey) = locked decisions. Yellow = populate from the paper named in the Source column.</t>
  </si>
  <si>
    <t>Movement</t>
  </si>
  <si>
    <t>Plane / axis</t>
  </si>
  <si>
    <t>Anatomical
ceiling (°)</t>
  </si>
  <si>
    <t>Ceiling
source</t>
  </si>
  <si>
    <t>Functional
demand (°)</t>
  </si>
  <si>
    <t>Functional source /
task</t>
  </si>
  <si>
    <t>Freyja
target (°)</t>
  </si>
  <si>
    <t>Hard
constraint?</t>
  </si>
  <si>
    <t>Headroom (°)
(ceil − func)</t>
  </si>
  <si>
    <t>Flexion</t>
  </si>
  <si>
    <t>Sagittal</t>
  </si>
  <si>
    <t>Soucie 2011 (F, 20–44)</t>
  </si>
  <si>
    <t>Riener 2002 — stair ascent</t>
  </si>
  <si>
    <t>Soucie ceiling 133.8°. Riener ascent peak ≈67° (30° stairs) up to ~73° (42°). Read off Fig 2 ±~3°. Large positive headroom — anatomy not the limiter.</t>
  </si>
  <si>
    <t>Extension</t>
  </si>
  <si>
    <t>low</t>
  </si>
  <si>
    <t>Riener 2002 — stair descent</t>
  </si>
  <si>
    <t>Soucie ceiling 18.1°. On stairs the hip stays flexed — extension demand is small (≈0–10°), not governing. No headroom number entered (qualitative).</t>
  </si>
  <si>
    <t>Abduction</t>
  </si>
  <si>
    <t>Frontal</t>
  </si>
  <si>
    <t>Soucie n/a (no frontal hip). Source needed: Boone&amp;Azen (M) / AAOS.</t>
  </si>
  <si>
    <t>Adduction</t>
  </si>
  <si>
    <t>Soucie n/a. Source: Boone&amp;Azen (M) / AAOS.</t>
  </si>
  <si>
    <t>Internal rotation</t>
  </si>
  <si>
    <t>Transverse</t>
  </si>
  <si>
    <t>Soucie n/a (no hip rotation). Source: Boone&amp;Azen (M) / AAOS.</t>
  </si>
  <si>
    <t>External rotation</t>
  </si>
  <si>
    <t>Soucie ceiling 141.9°. Riener descent peak ≈95° (30°) up to ~100° (42°); ascent similar. Large positive headroom anatomically — your four-bar divergence at 120°+ is the real limiter, not human ROM.</t>
  </si>
  <si>
    <t>~0</t>
  </si>
  <si>
    <t>Soucie ceiling 1.6° hyperext. Knee reaches near-full extension in stance but no hyperextension demand on stairs. Keep the 0° hard-stop. No headroom number (qualitative).</t>
  </si>
  <si>
    <t>Ankle</t>
  </si>
  <si>
    <t>Dorsiflexion</t>
  </si>
  <si>
    <t>YES</t>
  </si>
  <si>
    <t>GOVERNING. Three-way: Soucie ceiling 13.8° (F mean) &lt; Riener descent demand ≈15° (30° stairs) to ~18–20° (42°) &lt; your design target 25°. So stair-descent dorsiflexion ALREADY exceeds the population-MEAN ankle ceiling (headroom negative), which is why stairs need above-average ankle flexibility. Your 25° gives margin above the steepest measured stair demand and sits at ~+2 SD of the female distribution (within the human max of 36°). Design the ankle for the flexible tail, log it as a deliberate above-median departure. Plot reads ±~3°.</t>
  </si>
  <si>
    <t>Plantarflexion</t>
  </si>
  <si>
    <t>Soucie ceiling 62.1°. Riener descent peak plantarflexion ≈25–30° (late stance/push-off). Large positive headroom.</t>
  </si>
  <si>
    <t>Inversion</t>
  </si>
  <si>
    <t>Soucie n/a (no ankle inv/ev). Source: Boone&amp;Azen (M) / AAOS.</t>
  </si>
  <si>
    <t>Eversion</t>
  </si>
  <si>
    <t>Lumbosacral</t>
  </si>
  <si>
    <t>Soucie n/a (no spine). Source: spine ROM literature / AAOS.</t>
  </si>
  <si>
    <t>Soucie n/a. Source: spine ROM literature / AAOS.</t>
  </si>
  <si>
    <t>Lateral bending</t>
  </si>
  <si>
    <t>Axial rotation</t>
  </si>
  <si>
    <t>Shoulder</t>
  </si>
  <si>
    <t>95% CI 170.9–173.1; SD 6.8; max 183°.</t>
  </si>
  <si>
    <t>Soucie n/a (only shoulder flexion). Source: AAOS / Boone&amp;Azen (M).</t>
  </si>
  <si>
    <t>Soucie n/a. Source: AAOS / Boone&amp;Azen (M).</t>
  </si>
  <si>
    <t>95% CI 149.1–150.9; SD 5.5; max 165.5°.</t>
  </si>
  <si>
    <t>Hyperextension beyond neutral; SD 4.8; max 18°.</t>
  </si>
  <si>
    <t>Soucie n/a (no wrist). Source: Boone&amp;Azen (M) / AAOS.</t>
  </si>
  <si>
    <t>Headroom = ceiling − functional. Negative ⇒ task demands more than population-mean anatomy ⇒ Freyja must exceed human-typical ROM there.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</si>
</sst>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"/>
    <numFmt numFmtId="166" formatCode="0.0"/>
  </numFmts>
  <fonts count="12">
    <font>
      <sz val="11.0"/>
      <color theme="1"/>
      <name val="Calibri"/>
      <scheme val="minor"/>
    </font>
    <font>
      <b/>
      <sz val="13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1F3864"/>
      <name val="Arial"/>
    </font>
    <font>
      <sz val="11.0"/>
      <color rgb="FF0000FF"/>
      <name val="Arial"/>
    </font>
    <font>
      <i/>
      <sz val="11.0"/>
      <color rgb="FF555555"/>
      <name val="Arial"/>
    </font>
    <font>
      <b/>
      <sz val="11.0"/>
      <color rgb="FF0000FF"/>
      <name val="Arial"/>
    </font>
    <font>
      <b/>
      <sz val="11.0"/>
      <color rgb="FFFFFFFF"/>
      <name val="Arial"/>
    </font>
    <font/>
    <font>
      <sz val="11.0"/>
      <color rgb="FF00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6DCE5"/>
        <bgColor rgb="FFD6DCE5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EAEFF7"/>
        <bgColor rgb="FFEAEFF7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</fills>
  <borders count="6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1" fillId="2" fontId="5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3" fontId="8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4" fontId="9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2" fillId="0" fontId="4" numFmtId="164" xfId="0" applyAlignment="1" applyBorder="1" applyFont="1" applyNumberFormat="1">
      <alignment horizontal="center" shrinkToFit="0" vertical="center" wrapText="1"/>
    </xf>
    <xf borderId="2" fillId="0" fontId="4" numFmtId="165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left" shrinkToFit="0" vertical="top" wrapText="1"/>
    </xf>
    <xf borderId="0" fillId="0" fontId="4" numFmtId="2" xfId="0" applyAlignment="1" applyFont="1" applyNumberFormat="1">
      <alignment horizontal="center" shrinkToFit="0" vertical="center" wrapText="1"/>
    </xf>
    <xf borderId="1" fillId="5" fontId="4" numFmtId="164" xfId="0" applyAlignment="1" applyBorder="1" applyFill="1" applyFont="1" applyNumberFormat="1">
      <alignment horizontal="center" shrinkToFit="0" vertical="center" wrapText="1"/>
    </xf>
    <xf borderId="1" fillId="5" fontId="4" numFmtId="2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top" wrapText="1"/>
    </xf>
    <xf borderId="3" fillId="2" fontId="3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2" fillId="0" fontId="11" numFmtId="0" xfId="0" applyAlignment="1" applyBorder="1" applyFont="1">
      <alignment horizontal="left" shrinkToFit="0" vertical="center" wrapText="1"/>
    </xf>
    <xf borderId="2" fillId="0" fontId="11" numFmtId="164" xfId="0" applyAlignment="1" applyBorder="1" applyFont="1" applyNumberFormat="1">
      <alignment horizontal="center" shrinkToFit="0" vertical="center" wrapText="1"/>
    </xf>
    <xf borderId="2" fillId="3" fontId="6" numFmtId="164" xfId="0" applyAlignment="1" applyBorder="1" applyFont="1" applyNumberFormat="1">
      <alignment horizontal="center" shrinkToFit="0" vertical="center" wrapText="1"/>
    </xf>
    <xf borderId="2" fillId="0" fontId="11" numFmtId="166" xfId="0" applyAlignment="1" applyBorder="1" applyFont="1" applyNumberFormat="1">
      <alignment horizontal="center" shrinkToFit="0" vertical="center" wrapText="1"/>
    </xf>
    <xf borderId="2" fillId="3" fontId="6" numFmtId="166" xfId="0" applyAlignment="1" applyBorder="1" applyFont="1" applyNumberFormat="1">
      <alignment horizontal="center" shrinkToFit="0" vertical="center" wrapText="1"/>
    </xf>
    <xf borderId="2" fillId="0" fontId="4" numFmtId="166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2" fillId="6" fontId="3" numFmtId="0" xfId="0" applyAlignment="1" applyBorder="1" applyFill="1" applyFont="1">
      <alignment horizontal="left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2" fillId="6" fontId="4" numFmtId="0" xfId="0" applyAlignment="1" applyBorder="1" applyFont="1">
      <alignment horizontal="left" shrinkToFit="0" vertical="center" wrapText="1"/>
    </xf>
    <xf borderId="2" fillId="7" fontId="6" numFmtId="0" xfId="0" applyAlignment="1" applyBorder="1" applyFill="1" applyFont="1">
      <alignment horizontal="left" shrinkToFit="0" vertical="top" wrapText="1"/>
    </xf>
    <xf borderId="2" fillId="6" fontId="2" numFmtId="0" xfId="0" applyAlignment="1" applyBorder="1" applyFont="1">
      <alignment horizontal="left" shrinkToFit="0" vertical="top" wrapText="1"/>
    </xf>
    <xf borderId="2" fillId="3" fontId="6" numFmtId="0" xfId="0" applyAlignment="1" applyBorder="1" applyFont="1">
      <alignment horizontal="left" shrinkToFit="0" vertical="top" wrapText="1"/>
    </xf>
    <xf borderId="2" fillId="7" fontId="6" numFmtId="166" xfId="0" applyAlignment="1" applyBorder="1" applyFont="1" applyNumberFormat="1">
      <alignment horizontal="center" shrinkToFit="0" vertical="center" wrapText="1"/>
    </xf>
    <xf borderId="2" fillId="7" fontId="6" numFmtId="0" xfId="0" applyAlignment="1" applyBorder="1" applyFont="1">
      <alignment horizontal="center" shrinkToFit="0" vertical="center" wrapText="1"/>
    </xf>
    <xf borderId="2" fillId="8" fontId="6" numFmtId="166" xfId="0" applyAlignment="1" applyBorder="1" applyFill="1" applyFont="1" applyNumberFormat="1">
      <alignment horizontal="center" shrinkToFit="0" vertical="center" wrapText="1"/>
    </xf>
    <xf borderId="2" fillId="8" fontId="6" numFmtId="0" xfId="0" applyAlignment="1" applyBorder="1" applyFont="1">
      <alignment horizontal="center" shrinkToFit="0" vertical="center" wrapText="1"/>
    </xf>
    <xf borderId="2" fillId="8" fontId="8" numFmtId="16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95.0"/>
    <col customWidth="1" min="3" max="26" width="8.71"/>
  </cols>
  <sheetData>
    <row r="1" ht="15.75" customHeight="1">
      <c r="A1" s="1" t="s">
        <v>0</v>
      </c>
      <c r="B1" s="2"/>
    </row>
    <row r="2">
      <c r="A2" s="2"/>
      <c r="B2" s="2"/>
    </row>
    <row r="3" ht="39.0" customHeight="1">
      <c r="A3" s="3" t="s">
        <v>1</v>
      </c>
      <c r="B3" s="4" t="s">
        <v>2</v>
      </c>
    </row>
    <row r="4">
      <c r="A4" s="2"/>
      <c r="B4" s="2"/>
    </row>
    <row r="5" ht="15.0" customHeight="1">
      <c r="A5" s="5" t="s">
        <v>3</v>
      </c>
      <c r="B5" s="6"/>
    </row>
    <row r="6" ht="15.0" customHeight="1">
      <c r="A6" s="3" t="s">
        <v>4</v>
      </c>
      <c r="B6" s="4" t="s">
        <v>5</v>
      </c>
    </row>
    <row r="7" ht="15.0" customHeight="1">
      <c r="A7" s="3" t="s">
        <v>6</v>
      </c>
      <c r="B7" s="4" t="s">
        <v>7</v>
      </c>
    </row>
    <row r="8" ht="26.25" customHeight="1">
      <c r="A8" s="3" t="s">
        <v>8</v>
      </c>
      <c r="B8" s="4" t="s">
        <v>9</v>
      </c>
    </row>
    <row r="9">
      <c r="A9" s="2"/>
      <c r="B9" s="2"/>
    </row>
    <row r="10" ht="15.0" customHeight="1">
      <c r="A10" s="5" t="s">
        <v>10</v>
      </c>
      <c r="B10" s="6"/>
    </row>
    <row r="11" ht="15.0" customHeight="1">
      <c r="A11" s="3" t="s">
        <v>11</v>
      </c>
      <c r="B11" s="4" t="s">
        <v>12</v>
      </c>
    </row>
    <row r="12" ht="39.0" customHeight="1">
      <c r="A12" s="3" t="s">
        <v>13</v>
      </c>
      <c r="B12" s="4" t="s">
        <v>14</v>
      </c>
    </row>
    <row r="13" ht="26.25" customHeight="1">
      <c r="A13" s="3" t="s">
        <v>15</v>
      </c>
      <c r="B13" s="4" t="s">
        <v>16</v>
      </c>
    </row>
    <row r="14" ht="26.25" customHeight="1">
      <c r="A14" s="3" t="s">
        <v>17</v>
      </c>
      <c r="B14" s="4" t="s">
        <v>18</v>
      </c>
    </row>
    <row r="15">
      <c r="A15" s="2"/>
      <c r="B15" s="2"/>
    </row>
    <row r="16" ht="15.0" customHeight="1">
      <c r="A16" s="5" t="s">
        <v>19</v>
      </c>
      <c r="B16" s="6"/>
    </row>
    <row r="17" ht="15.0" customHeight="1">
      <c r="A17" s="3" t="s">
        <v>20</v>
      </c>
      <c r="B17" s="4" t="s">
        <v>21</v>
      </c>
    </row>
    <row r="18" ht="15.0" customHeight="1">
      <c r="A18" s="3" t="s">
        <v>22</v>
      </c>
      <c r="B18" s="4" t="s">
        <v>23</v>
      </c>
    </row>
    <row r="19" ht="15.0" customHeight="1">
      <c r="A19" s="3" t="s">
        <v>24</v>
      </c>
      <c r="B19" s="4" t="s">
        <v>25</v>
      </c>
    </row>
    <row r="20" ht="39.0" customHeight="1">
      <c r="A20" s="3" t="s">
        <v>26</v>
      </c>
      <c r="B20" s="7" t="s">
        <v>27</v>
      </c>
    </row>
    <row r="21" ht="15.75" customHeight="1">
      <c r="A21" s="2"/>
      <c r="B21" s="2"/>
    </row>
    <row r="22" ht="15.0" customHeight="1">
      <c r="A22" s="5" t="s">
        <v>28</v>
      </c>
      <c r="B22" s="6"/>
    </row>
    <row r="23" ht="26.25" customHeight="1">
      <c r="A23" s="3" t="s">
        <v>29</v>
      </c>
      <c r="B23" s="4" t="s">
        <v>30</v>
      </c>
    </row>
    <row r="24" ht="15.0" customHeight="1">
      <c r="A24" s="3" t="s">
        <v>31</v>
      </c>
      <c r="B24" s="4" t="s">
        <v>32</v>
      </c>
    </row>
    <row r="25" ht="15.0" customHeight="1">
      <c r="A25" s="3" t="s">
        <v>33</v>
      </c>
      <c r="B25" s="4" t="s">
        <v>34</v>
      </c>
    </row>
    <row r="26" ht="26.25" customHeight="1">
      <c r="A26" s="3" t="s">
        <v>35</v>
      </c>
      <c r="B26" s="4" t="s">
        <v>36</v>
      </c>
    </row>
    <row r="27" ht="26.25" customHeight="1">
      <c r="A27" s="3" t="s">
        <v>37</v>
      </c>
      <c r="B27" s="4" t="s">
        <v>38</v>
      </c>
    </row>
    <row r="28" ht="26.25" customHeight="1">
      <c r="A28" s="3" t="s">
        <v>39</v>
      </c>
      <c r="B28" s="4" t="s">
        <v>40</v>
      </c>
    </row>
    <row r="29" ht="15.75" customHeight="1">
      <c r="A29" s="2"/>
      <c r="B29" s="2"/>
    </row>
    <row r="30" ht="15.0" customHeight="1">
      <c r="A30" s="5" t="s">
        <v>41</v>
      </c>
      <c r="B30" s="6"/>
    </row>
    <row r="31" ht="39.0" customHeight="1">
      <c r="A31" s="3" t="s">
        <v>42</v>
      </c>
      <c r="B31" s="4" t="s">
        <v>43</v>
      </c>
    </row>
    <row r="32" ht="26.25" customHeight="1">
      <c r="A32" s="3" t="s">
        <v>44</v>
      </c>
      <c r="B32" s="4" t="s">
        <v>45</v>
      </c>
    </row>
    <row r="33" ht="39.0" customHeight="1">
      <c r="A33" s="3" t="s">
        <v>46</v>
      </c>
      <c r="B33" s="4" t="s">
        <v>47</v>
      </c>
    </row>
    <row r="34" ht="39.0" customHeight="1">
      <c r="A34" s="3" t="s">
        <v>48</v>
      </c>
      <c r="B34" s="4" t="s">
        <v>49</v>
      </c>
    </row>
    <row r="35" ht="15.75" customHeight="1">
      <c r="A35" s="2"/>
      <c r="B35" s="2"/>
    </row>
    <row r="36" ht="15.0" customHeight="1">
      <c r="A36" s="5" t="s">
        <v>50</v>
      </c>
      <c r="B36" s="6"/>
    </row>
    <row r="37" ht="26.25" customHeight="1">
      <c r="A37" s="3" t="s">
        <v>51</v>
      </c>
      <c r="B37" s="4" t="s">
        <v>52</v>
      </c>
    </row>
    <row r="38" ht="15.0" customHeight="1">
      <c r="A38" s="3" t="s">
        <v>53</v>
      </c>
      <c r="B38" s="4" t="s">
        <v>54</v>
      </c>
    </row>
    <row r="39" ht="26.25" customHeight="1">
      <c r="A39" s="3" t="s">
        <v>55</v>
      </c>
      <c r="B39" s="4" t="s">
        <v>56</v>
      </c>
    </row>
    <row r="40" ht="26.25" customHeight="1">
      <c r="A40" s="3" t="s">
        <v>57</v>
      </c>
      <c r="B40" s="4" t="s">
        <v>58</v>
      </c>
    </row>
    <row r="41" ht="15.75" customHeight="1">
      <c r="A41" s="2"/>
      <c r="B41" s="2"/>
    </row>
    <row r="42" ht="15.0" customHeight="1">
      <c r="A42" s="8" t="s">
        <v>59</v>
      </c>
      <c r="B42" s="9" t="s">
        <v>60</v>
      </c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8.0"/>
    <col customWidth="1" min="2" max="2" width="6.0"/>
    <col customWidth="1" min="3" max="3" width="22.0"/>
    <col customWidth="1" min="4" max="4" width="9.0"/>
    <col customWidth="1" min="5" max="5" width="8.0"/>
    <col customWidth="1" min="6" max="6" width="11.0"/>
    <col customWidth="1" min="7" max="12" width="9.0"/>
    <col customWidth="1" min="13" max="18" width="8.0"/>
    <col customWidth="1" min="19" max="24" width="11.0"/>
    <col customWidth="1" min="25" max="25" width="40.0"/>
    <col customWidth="1" min="26" max="26" width="8.71"/>
  </cols>
  <sheetData>
    <row r="1" ht="15.0" customHeight="1">
      <c r="A1" s="8" t="s">
        <v>61</v>
      </c>
      <c r="B1" s="10">
        <v>65.0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8" t="s">
        <v>62</v>
      </c>
      <c r="B2" s="10">
        <v>1700.0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11" t="s">
        <v>63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39.0" customHeight="1">
      <c r="A5" s="12" t="s">
        <v>64</v>
      </c>
      <c r="B5" s="12" t="s">
        <v>65</v>
      </c>
      <c r="C5" s="12" t="s">
        <v>66</v>
      </c>
      <c r="D5" s="12" t="s">
        <v>67</v>
      </c>
      <c r="E5" s="12" t="s">
        <v>68</v>
      </c>
      <c r="F5" s="12" t="s">
        <v>69</v>
      </c>
      <c r="G5" s="12" t="s">
        <v>70</v>
      </c>
      <c r="H5" s="12" t="s">
        <v>71</v>
      </c>
      <c r="I5" s="12" t="s">
        <v>72</v>
      </c>
      <c r="J5" s="12" t="s">
        <v>73</v>
      </c>
      <c r="K5" s="12" t="s">
        <v>74</v>
      </c>
      <c r="L5" s="12" t="s">
        <v>75</v>
      </c>
      <c r="M5" s="12" t="s">
        <v>76</v>
      </c>
      <c r="N5" s="12" t="s">
        <v>77</v>
      </c>
      <c r="O5" s="12" t="s">
        <v>78</v>
      </c>
      <c r="P5" s="12" t="s">
        <v>79</v>
      </c>
      <c r="Q5" s="12" t="s">
        <v>80</v>
      </c>
      <c r="R5" s="12" t="s">
        <v>81</v>
      </c>
      <c r="S5" s="12" t="s">
        <v>82</v>
      </c>
      <c r="T5" s="12" t="s">
        <v>83</v>
      </c>
      <c r="U5" s="12" t="s">
        <v>84</v>
      </c>
      <c r="V5" s="12" t="s">
        <v>85</v>
      </c>
      <c r="W5" s="12" t="s">
        <v>86</v>
      </c>
      <c r="X5" s="12" t="s">
        <v>87</v>
      </c>
      <c r="Y5" s="12" t="s">
        <v>88</v>
      </c>
    </row>
    <row r="6" ht="26.25" customHeight="1">
      <c r="A6" s="13" t="s">
        <v>89</v>
      </c>
      <c r="B6" s="14">
        <v>1.0</v>
      </c>
      <c r="C6" s="15" t="s">
        <v>90</v>
      </c>
      <c r="D6" s="16">
        <v>253.0</v>
      </c>
      <c r="E6" s="16">
        <v>6.7</v>
      </c>
      <c r="F6" s="17">
        <f t="shared" ref="F6:F16" si="1">E6/100*$B$1</f>
        <v>4.355</v>
      </c>
      <c r="G6" s="16">
        <v>1.6</v>
      </c>
      <c r="H6" s="16">
        <v>57.5</v>
      </c>
      <c r="I6" s="16">
        <v>0.1</v>
      </c>
      <c r="J6" s="17">
        <f t="shared" ref="J6:J15" si="2">D6*G6/100</f>
        <v>4.048</v>
      </c>
      <c r="K6" s="17">
        <f t="shared" ref="K6:K15" si="3">D6*H6/100</f>
        <v>145.475</v>
      </c>
      <c r="L6" s="17">
        <f t="shared" ref="L6:L15" si="4">D6*I6/100</f>
        <v>0.253</v>
      </c>
      <c r="M6" s="16">
        <v>29.0</v>
      </c>
      <c r="N6" s="16">
        <v>23.0</v>
      </c>
      <c r="O6" s="16">
        <v>30.0</v>
      </c>
      <c r="P6" s="16">
        <v>-4.0</v>
      </c>
      <c r="Q6" s="16">
        <v>0.0</v>
      </c>
      <c r="R6" s="16">
        <v>1.0</v>
      </c>
      <c r="S6" s="18">
        <f t="shared" ref="S6:S15" si="5">F6*(M6/100*D6/1000)^2</f>
        <v>0.0234436483</v>
      </c>
      <c r="T6" s="18">
        <f t="shared" ref="T6:T15" si="6">F6*(N6/100*D6/1000)^2</f>
        <v>0.01474636142</v>
      </c>
      <c r="U6" s="18">
        <f t="shared" ref="U6:U15" si="7">F6*(O6/100*D6/1000)^2</f>
        <v>0.02508832755</v>
      </c>
      <c r="V6" s="18">
        <f t="shared" ref="V6:V15" si="8">SIGN(P6)*F6*(ABS(P6)/100*D6/1000)^2</f>
        <v>-0.000446014712</v>
      </c>
      <c r="W6" s="18">
        <f t="shared" ref="W6:W15" si="9">SIGN(Q6)*F6*(ABS(Q6)/100*D6/1000)^2</f>
        <v>0</v>
      </c>
      <c r="X6" s="18">
        <f t="shared" ref="X6:X15" si="10">SIGN(R6)*F6*(ABS(R6)/100*D6/1000)^2</f>
        <v>0.0000278759195</v>
      </c>
      <c r="Y6" s="19" t="s">
        <v>91</v>
      </c>
    </row>
    <row r="7" ht="15.0" customHeight="1">
      <c r="A7" s="13" t="s">
        <v>92</v>
      </c>
      <c r="B7" s="14">
        <v>1.0</v>
      </c>
      <c r="C7" s="15" t="s">
        <v>93</v>
      </c>
      <c r="D7" s="16">
        <v>313.0</v>
      </c>
      <c r="E7" s="16">
        <v>26.3</v>
      </c>
      <c r="F7" s="17">
        <f t="shared" si="1"/>
        <v>17.095</v>
      </c>
      <c r="G7" s="16">
        <v>2.1</v>
      </c>
      <c r="H7" s="16">
        <v>-52.8</v>
      </c>
      <c r="I7" s="16">
        <v>0.1</v>
      </c>
      <c r="J7" s="17">
        <f t="shared" si="2"/>
        <v>6.573</v>
      </c>
      <c r="K7" s="17">
        <f t="shared" si="3"/>
        <v>-165.264</v>
      </c>
      <c r="L7" s="17">
        <f t="shared" si="4"/>
        <v>0.313</v>
      </c>
      <c r="M7" s="16">
        <v>39.0</v>
      </c>
      <c r="N7" s="16">
        <v>33.0</v>
      </c>
      <c r="O7" s="16">
        <v>35.0</v>
      </c>
      <c r="P7" s="16">
        <v>-12.0</v>
      </c>
      <c r="Q7" s="16">
        <v>1.0</v>
      </c>
      <c r="R7" s="16">
        <v>-3.0</v>
      </c>
      <c r="S7" s="18">
        <f t="shared" si="5"/>
        <v>0.2547340464</v>
      </c>
      <c r="T7" s="18">
        <f t="shared" si="6"/>
        <v>0.182383548</v>
      </c>
      <c r="U7" s="18">
        <f t="shared" si="7"/>
        <v>0.2051605567</v>
      </c>
      <c r="V7" s="18">
        <f t="shared" si="8"/>
        <v>-0.02411683279</v>
      </c>
      <c r="W7" s="18">
        <f t="shared" si="9"/>
        <v>0.0001674780055</v>
      </c>
      <c r="X7" s="18">
        <f t="shared" si="10"/>
        <v>-0.00150730205</v>
      </c>
      <c r="Y7" s="19" t="s">
        <v>94</v>
      </c>
    </row>
    <row r="8" ht="15.0" customHeight="1">
      <c r="A8" s="13" t="s">
        <v>95</v>
      </c>
      <c r="B8" s="14">
        <v>1.0</v>
      </c>
      <c r="C8" s="15" t="s">
        <v>93</v>
      </c>
      <c r="D8" s="16">
        <v>121.0</v>
      </c>
      <c r="E8" s="16">
        <v>4.1</v>
      </c>
      <c r="F8" s="17">
        <f t="shared" si="1"/>
        <v>2.665</v>
      </c>
      <c r="G8" s="16">
        <v>24.4</v>
      </c>
      <c r="H8" s="16">
        <v>-41.5</v>
      </c>
      <c r="I8" s="16">
        <v>0.5</v>
      </c>
      <c r="J8" s="17">
        <f t="shared" si="2"/>
        <v>29.524</v>
      </c>
      <c r="K8" s="17">
        <f t="shared" si="3"/>
        <v>-50.215</v>
      </c>
      <c r="L8" s="17">
        <f t="shared" si="4"/>
        <v>0.605</v>
      </c>
      <c r="M8" s="16">
        <v>67.0</v>
      </c>
      <c r="N8" s="16">
        <v>77.0</v>
      </c>
      <c r="O8" s="16">
        <v>55.0</v>
      </c>
      <c r="P8" s="16">
        <v>20.0</v>
      </c>
      <c r="Q8" s="16">
        <v>-5.0</v>
      </c>
      <c r="R8" s="16">
        <v>-3.0</v>
      </c>
      <c r="S8" s="18">
        <f t="shared" si="5"/>
        <v>0.01751529916</v>
      </c>
      <c r="T8" s="18">
        <f t="shared" si="6"/>
        <v>0.02313392932</v>
      </c>
      <c r="U8" s="18">
        <f t="shared" si="7"/>
        <v>0.01180302516</v>
      </c>
      <c r="V8" s="18">
        <f t="shared" si="8"/>
        <v>0.0015607306</v>
      </c>
      <c r="W8" s="18">
        <f t="shared" si="9"/>
        <v>-0.0000975456625</v>
      </c>
      <c r="X8" s="18">
        <f t="shared" si="10"/>
        <v>-0.0000351164385</v>
      </c>
      <c r="Y8" s="19" t="s">
        <v>96</v>
      </c>
    </row>
    <row r="9" ht="95.25" customHeight="1">
      <c r="A9" s="13" t="s">
        <v>97</v>
      </c>
      <c r="B9" s="14">
        <v>1.0</v>
      </c>
      <c r="C9" s="15" t="s">
        <v>98</v>
      </c>
      <c r="D9" s="16">
        <v>107.0</v>
      </c>
      <c r="E9" s="16">
        <v>14.6</v>
      </c>
      <c r="F9" s="17">
        <f t="shared" si="1"/>
        <v>9.49</v>
      </c>
      <c r="G9" s="16">
        <v>-0.9</v>
      </c>
      <c r="H9" s="16">
        <v>-23.2</v>
      </c>
      <c r="I9" s="16">
        <v>0.2</v>
      </c>
      <c r="J9" s="17">
        <f t="shared" si="2"/>
        <v>-0.963</v>
      </c>
      <c r="K9" s="17">
        <f t="shared" si="3"/>
        <v>-24.824</v>
      </c>
      <c r="L9" s="17">
        <f t="shared" si="4"/>
        <v>0.214</v>
      </c>
      <c r="M9" s="16">
        <v>91.0</v>
      </c>
      <c r="N9" s="16">
        <v>100.0</v>
      </c>
      <c r="O9" s="16">
        <v>79.0</v>
      </c>
      <c r="P9" s="16">
        <v>-34.0</v>
      </c>
      <c r="Q9" s="16">
        <v>-1.0</v>
      </c>
      <c r="R9" s="16">
        <v>-10.0</v>
      </c>
      <c r="S9" s="18">
        <f t="shared" si="5"/>
        <v>0.08997390138</v>
      </c>
      <c r="T9" s="18">
        <f t="shared" si="6"/>
        <v>0.10865101</v>
      </c>
      <c r="U9" s="18">
        <f t="shared" si="7"/>
        <v>0.06780909534</v>
      </c>
      <c r="V9" s="18">
        <f t="shared" si="8"/>
        <v>-0.01256005676</v>
      </c>
      <c r="W9" s="18">
        <f t="shared" si="9"/>
        <v>-0.000010865101</v>
      </c>
      <c r="X9" s="18">
        <f t="shared" si="10"/>
        <v>-0.0010865101</v>
      </c>
      <c r="Y9" s="19" t="s">
        <v>99</v>
      </c>
    </row>
    <row r="10" ht="15.0" customHeight="1">
      <c r="A10" s="13" t="s">
        <v>100</v>
      </c>
      <c r="B10" s="14">
        <v>2.0</v>
      </c>
      <c r="C10" s="15" t="s">
        <v>98</v>
      </c>
      <c r="D10" s="16">
        <v>243.0</v>
      </c>
      <c r="E10" s="16">
        <v>2.2</v>
      </c>
      <c r="F10" s="17">
        <f t="shared" si="1"/>
        <v>1.43</v>
      </c>
      <c r="G10" s="16">
        <v>-7.3</v>
      </c>
      <c r="H10" s="16">
        <v>-45.4</v>
      </c>
      <c r="I10" s="16">
        <v>-2.8</v>
      </c>
      <c r="J10" s="17">
        <f t="shared" si="2"/>
        <v>-17.739</v>
      </c>
      <c r="K10" s="17">
        <f t="shared" si="3"/>
        <v>-110.322</v>
      </c>
      <c r="L10" s="17">
        <f t="shared" si="4"/>
        <v>-6.804</v>
      </c>
      <c r="M10" s="16">
        <v>33.0</v>
      </c>
      <c r="N10" s="16">
        <v>17.0</v>
      </c>
      <c r="O10" s="16">
        <v>33.0</v>
      </c>
      <c r="P10" s="16">
        <v>3.0</v>
      </c>
      <c r="Q10" s="16">
        <v>-4.0</v>
      </c>
      <c r="R10" s="16">
        <v>-5.0</v>
      </c>
      <c r="S10" s="18">
        <f t="shared" si="5"/>
        <v>0.009195523623</v>
      </c>
      <c r="T10" s="18">
        <f t="shared" si="6"/>
        <v>0.002440318023</v>
      </c>
      <c r="U10" s="18">
        <f t="shared" si="7"/>
        <v>0.009195523623</v>
      </c>
      <c r="V10" s="18">
        <f t="shared" si="8"/>
        <v>0.000075996063</v>
      </c>
      <c r="W10" s="18">
        <f t="shared" si="9"/>
        <v>-0.000135104112</v>
      </c>
      <c r="X10" s="18">
        <f t="shared" si="10"/>
        <v>-0.000211100175</v>
      </c>
      <c r="Y10" s="19" t="s">
        <v>101</v>
      </c>
    </row>
    <row r="11" ht="15.0" customHeight="1">
      <c r="A11" s="13" t="s">
        <v>102</v>
      </c>
      <c r="B11" s="14">
        <v>2.0</v>
      </c>
      <c r="C11" s="15" t="s">
        <v>98</v>
      </c>
      <c r="D11" s="16">
        <v>271.0</v>
      </c>
      <c r="E11" s="16">
        <v>1.3</v>
      </c>
      <c r="F11" s="17">
        <f t="shared" si="1"/>
        <v>0.845</v>
      </c>
      <c r="G11" s="16">
        <v>1.7</v>
      </c>
      <c r="H11" s="16">
        <v>-45.2</v>
      </c>
      <c r="I11" s="16">
        <v>-2.6</v>
      </c>
      <c r="J11" s="17">
        <f t="shared" si="2"/>
        <v>4.607</v>
      </c>
      <c r="K11" s="17">
        <f t="shared" si="3"/>
        <v>-122.492</v>
      </c>
      <c r="L11" s="17">
        <f t="shared" si="4"/>
        <v>-7.046</v>
      </c>
      <c r="M11" s="16">
        <v>31.0</v>
      </c>
      <c r="N11" s="16">
        <v>14.0</v>
      </c>
      <c r="O11" s="16">
        <v>32.0</v>
      </c>
      <c r="P11" s="16">
        <v>6.0</v>
      </c>
      <c r="Q11" s="16">
        <v>2.0</v>
      </c>
      <c r="R11" s="16">
        <v>5.0</v>
      </c>
      <c r="S11" s="18">
        <f t="shared" si="5"/>
        <v>0.005963739685</v>
      </c>
      <c r="T11" s="18">
        <f t="shared" si="6"/>
        <v>0.001216329842</v>
      </c>
      <c r="U11" s="18">
        <f t="shared" si="7"/>
        <v>0.006354702848</v>
      </c>
      <c r="V11" s="18">
        <f t="shared" si="8"/>
        <v>0.000223407522</v>
      </c>
      <c r="W11" s="18">
        <f t="shared" si="9"/>
        <v>0.000024823058</v>
      </c>
      <c r="X11" s="18">
        <f t="shared" si="10"/>
        <v>0.0001551441125</v>
      </c>
      <c r="Y11" s="19" t="s">
        <v>103</v>
      </c>
    </row>
    <row r="12" ht="15.0" customHeight="1">
      <c r="A12" s="13" t="s">
        <v>104</v>
      </c>
      <c r="B12" s="14">
        <v>2.0</v>
      </c>
      <c r="C12" s="15" t="s">
        <v>98</v>
      </c>
      <c r="D12" s="16">
        <v>283.0</v>
      </c>
      <c r="E12" s="16">
        <v>1.3</v>
      </c>
      <c r="F12" s="17">
        <f t="shared" si="1"/>
        <v>0.845</v>
      </c>
      <c r="G12" s="16">
        <v>1.0</v>
      </c>
      <c r="H12" s="16">
        <v>-41.7</v>
      </c>
      <c r="I12" s="16">
        <v>1.4</v>
      </c>
      <c r="J12" s="17">
        <f t="shared" si="2"/>
        <v>2.83</v>
      </c>
      <c r="K12" s="17">
        <f t="shared" si="3"/>
        <v>-118.011</v>
      </c>
      <c r="L12" s="17">
        <f t="shared" si="4"/>
        <v>3.962</v>
      </c>
      <c r="M12" s="16">
        <v>28.0</v>
      </c>
      <c r="N12" s="16">
        <v>11.0</v>
      </c>
      <c r="O12" s="16">
        <v>27.0</v>
      </c>
      <c r="P12" s="16">
        <v>3.0</v>
      </c>
      <c r="Q12" s="16">
        <v>-1.0</v>
      </c>
      <c r="R12" s="16">
        <v>1.0</v>
      </c>
      <c r="S12" s="18">
        <f t="shared" si="5"/>
        <v>0.005305736072</v>
      </c>
      <c r="T12" s="18">
        <f t="shared" si="6"/>
        <v>0.0008188699805</v>
      </c>
      <c r="U12" s="18">
        <f t="shared" si="7"/>
        <v>0.004933522445</v>
      </c>
      <c r="V12" s="18">
        <f t="shared" si="8"/>
        <v>0.0000609076845</v>
      </c>
      <c r="W12" s="18">
        <f t="shared" si="9"/>
        <v>-0.0000067675205</v>
      </c>
      <c r="X12" s="18">
        <f t="shared" si="10"/>
        <v>0.0000067675205</v>
      </c>
      <c r="Y12" s="19" t="s">
        <v>105</v>
      </c>
    </row>
    <row r="13" ht="15.0" customHeight="1">
      <c r="A13" s="13" t="s">
        <v>106</v>
      </c>
      <c r="B13" s="14">
        <v>2.0</v>
      </c>
      <c r="C13" s="15" t="s">
        <v>98</v>
      </c>
      <c r="D13" s="16">
        <v>432.0</v>
      </c>
      <c r="E13" s="16">
        <v>12.3</v>
      </c>
      <c r="F13" s="17">
        <f t="shared" si="1"/>
        <v>7.995</v>
      </c>
      <c r="G13" s="16">
        <v>-4.1</v>
      </c>
      <c r="H13" s="16">
        <v>-42.9</v>
      </c>
      <c r="I13" s="16">
        <v>3.3</v>
      </c>
      <c r="J13" s="17">
        <f t="shared" si="2"/>
        <v>-17.712</v>
      </c>
      <c r="K13" s="17">
        <f t="shared" si="3"/>
        <v>-185.328</v>
      </c>
      <c r="L13" s="17">
        <f t="shared" si="4"/>
        <v>14.256</v>
      </c>
      <c r="M13" s="16">
        <v>29.0</v>
      </c>
      <c r="N13" s="16">
        <v>15.0</v>
      </c>
      <c r="O13" s="16">
        <v>30.0</v>
      </c>
      <c r="P13" s="16">
        <v>7.0</v>
      </c>
      <c r="Q13" s="16">
        <v>-7.0</v>
      </c>
      <c r="R13" s="16">
        <v>2.0</v>
      </c>
      <c r="S13" s="18">
        <f t="shared" si="5"/>
        <v>0.1254821518</v>
      </c>
      <c r="T13" s="18">
        <f t="shared" si="6"/>
        <v>0.0335713248</v>
      </c>
      <c r="U13" s="18">
        <f t="shared" si="7"/>
        <v>0.1342852992</v>
      </c>
      <c r="V13" s="18">
        <f t="shared" si="8"/>
        <v>0.007311088512</v>
      </c>
      <c r="W13" s="18">
        <f t="shared" si="9"/>
        <v>-0.007311088512</v>
      </c>
      <c r="X13" s="18">
        <f t="shared" si="10"/>
        <v>0.000596823552</v>
      </c>
      <c r="Y13" s="19" t="s">
        <v>107</v>
      </c>
    </row>
    <row r="14" ht="15.0" customHeight="1">
      <c r="A14" s="13" t="s">
        <v>108</v>
      </c>
      <c r="B14" s="14">
        <v>2.0</v>
      </c>
      <c r="C14" s="15" t="s">
        <v>98</v>
      </c>
      <c r="D14" s="16">
        <v>388.0</v>
      </c>
      <c r="E14" s="16">
        <v>4.5</v>
      </c>
      <c r="F14" s="17">
        <f t="shared" si="1"/>
        <v>2.925</v>
      </c>
      <c r="G14" s="16">
        <v>-4.9</v>
      </c>
      <c r="H14" s="16">
        <v>-40.4</v>
      </c>
      <c r="I14" s="16">
        <v>3.1</v>
      </c>
      <c r="J14" s="17">
        <f t="shared" si="2"/>
        <v>-19.012</v>
      </c>
      <c r="K14" s="17">
        <f t="shared" si="3"/>
        <v>-156.752</v>
      </c>
      <c r="L14" s="17">
        <f t="shared" si="4"/>
        <v>12.028</v>
      </c>
      <c r="M14" s="16">
        <v>28.0</v>
      </c>
      <c r="N14" s="16">
        <v>10.0</v>
      </c>
      <c r="O14" s="16">
        <v>28.0</v>
      </c>
      <c r="P14" s="16">
        <v>2.0</v>
      </c>
      <c r="Q14" s="16">
        <v>-2.0</v>
      </c>
      <c r="R14" s="16">
        <v>1.0</v>
      </c>
      <c r="S14" s="18">
        <f t="shared" si="5"/>
        <v>0.03452275008</v>
      </c>
      <c r="T14" s="18">
        <f t="shared" si="6"/>
        <v>0.004403412</v>
      </c>
      <c r="U14" s="18">
        <f t="shared" si="7"/>
        <v>0.03452275008</v>
      </c>
      <c r="V14" s="18">
        <f t="shared" si="8"/>
        <v>0.00017613648</v>
      </c>
      <c r="W14" s="18">
        <f t="shared" si="9"/>
        <v>-0.00017613648</v>
      </c>
      <c r="X14" s="18">
        <f t="shared" si="10"/>
        <v>0.00004403412</v>
      </c>
      <c r="Y14" s="19" t="s">
        <v>109</v>
      </c>
    </row>
    <row r="15" ht="15.0" customHeight="1">
      <c r="A15" s="13" t="s">
        <v>110</v>
      </c>
      <c r="B15" s="14">
        <v>2.0</v>
      </c>
      <c r="C15" s="15" t="s">
        <v>98</v>
      </c>
      <c r="D15" s="16">
        <v>165.0</v>
      </c>
      <c r="E15" s="16">
        <v>1.0</v>
      </c>
      <c r="F15" s="17">
        <f t="shared" si="1"/>
        <v>0.65</v>
      </c>
      <c r="G15" s="16">
        <v>27.0</v>
      </c>
      <c r="H15" s="16">
        <v>-21.8</v>
      </c>
      <c r="I15" s="16">
        <v>3.9</v>
      </c>
      <c r="J15" s="17">
        <f t="shared" si="2"/>
        <v>44.55</v>
      </c>
      <c r="K15" s="17">
        <f t="shared" si="3"/>
        <v>-35.97</v>
      </c>
      <c r="L15" s="17">
        <f t="shared" si="4"/>
        <v>6.435</v>
      </c>
      <c r="M15" s="16">
        <v>17.0</v>
      </c>
      <c r="N15" s="16">
        <v>36.0</v>
      </c>
      <c r="O15" s="16">
        <v>35.0</v>
      </c>
      <c r="P15" s="16">
        <v>-6.0</v>
      </c>
      <c r="Q15" s="16">
        <v>-4.0</v>
      </c>
      <c r="R15" s="16">
        <v>6.0</v>
      </c>
      <c r="S15" s="18">
        <f t="shared" si="5"/>
        <v>0.000511421625</v>
      </c>
      <c r="T15" s="18">
        <f t="shared" si="6"/>
        <v>0.002293434</v>
      </c>
      <c r="U15" s="18">
        <f t="shared" si="7"/>
        <v>0.002167790625</v>
      </c>
      <c r="V15" s="18">
        <f t="shared" si="8"/>
        <v>-0.0000637065</v>
      </c>
      <c r="W15" s="18">
        <f t="shared" si="9"/>
        <v>-0.000028314</v>
      </c>
      <c r="X15" s="18">
        <f t="shared" si="10"/>
        <v>0.0000637065</v>
      </c>
      <c r="Y15" s="19" t="s">
        <v>111</v>
      </c>
    </row>
    <row r="16" ht="15.0" customHeight="1">
      <c r="A16" s="2"/>
      <c r="B16" s="2"/>
      <c r="C16" s="2"/>
      <c r="D16" s="2"/>
      <c r="E16" s="2"/>
      <c r="F16" s="20">
        <f t="shared" si="1"/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39.0" customHeight="1">
      <c r="A17" s="8" t="s">
        <v>112</v>
      </c>
      <c r="B17" s="2"/>
      <c r="C17" s="2"/>
      <c r="D17" s="2"/>
      <c r="E17" s="21">
        <f>SUMPRODUCT(B6:B15,E6:E15)</f>
        <v>96.9</v>
      </c>
      <c r="F17" s="22">
        <f>E17*$B$1</f>
        <v>6298.5</v>
      </c>
      <c r="G17" s="23" t="str">
        <f>IF(ABS(E17-1)&lt;=0.02,"OK","CHECK SUM")</f>
        <v>CHECK SUM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4" t="s">
        <v>113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6.0"/>
    <col customWidth="1" min="2" max="22" width="9.0"/>
    <col customWidth="1" min="23" max="23" width="46.0"/>
    <col customWidth="1" min="24" max="26" width="8.71"/>
  </cols>
  <sheetData>
    <row r="1" ht="15.0" customHeight="1">
      <c r="A1" s="1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9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5.0" customHeight="1">
      <c r="A4" s="2"/>
      <c r="B4" s="25" t="s">
        <v>116</v>
      </c>
      <c r="C4" s="26"/>
      <c r="D4" s="27"/>
      <c r="E4" s="25" t="s">
        <v>117</v>
      </c>
      <c r="F4" s="26"/>
      <c r="G4" s="27"/>
      <c r="H4" s="25" t="s">
        <v>118</v>
      </c>
      <c r="I4" s="26"/>
      <c r="J4" s="27"/>
      <c r="K4" s="25" t="s">
        <v>119</v>
      </c>
      <c r="L4" s="26"/>
      <c r="M4" s="27"/>
      <c r="N4" s="25" t="s">
        <v>120</v>
      </c>
      <c r="O4" s="26"/>
      <c r="P4" s="27"/>
      <c r="Q4" s="25" t="s">
        <v>121</v>
      </c>
      <c r="R4" s="26"/>
      <c r="S4" s="27"/>
      <c r="T4" s="25" t="s">
        <v>122</v>
      </c>
      <c r="U4" s="26"/>
      <c r="V4" s="27"/>
      <c r="W4" s="2"/>
    </row>
    <row r="5" ht="15.0" customHeight="1">
      <c r="A5" s="12" t="s">
        <v>64</v>
      </c>
      <c r="B5" s="12" t="s">
        <v>123</v>
      </c>
      <c r="C5" s="12" t="s">
        <v>124</v>
      </c>
      <c r="D5" s="12" t="s">
        <v>125</v>
      </c>
      <c r="E5" s="12" t="s">
        <v>123</v>
      </c>
      <c r="F5" s="12" t="s">
        <v>124</v>
      </c>
      <c r="G5" s="12" t="s">
        <v>125</v>
      </c>
      <c r="H5" s="12" t="s">
        <v>123</v>
      </c>
      <c r="I5" s="12" t="s">
        <v>124</v>
      </c>
      <c r="J5" s="12" t="s">
        <v>125</v>
      </c>
      <c r="K5" s="12" t="s">
        <v>123</v>
      </c>
      <c r="L5" s="12" t="s">
        <v>124</v>
      </c>
      <c r="M5" s="12" t="s">
        <v>125</v>
      </c>
      <c r="N5" s="12" t="s">
        <v>123</v>
      </c>
      <c r="O5" s="12" t="s">
        <v>124</v>
      </c>
      <c r="P5" s="12" t="s">
        <v>125</v>
      </c>
      <c r="Q5" s="12" t="s">
        <v>123</v>
      </c>
      <c r="R5" s="12" t="s">
        <v>124</v>
      </c>
      <c r="S5" s="12" t="s">
        <v>125</v>
      </c>
      <c r="T5" s="12" t="s">
        <v>123</v>
      </c>
      <c r="U5" s="12" t="s">
        <v>124</v>
      </c>
      <c r="V5" s="12" t="s">
        <v>125</v>
      </c>
      <c r="W5" s="12" t="s">
        <v>126</v>
      </c>
    </row>
    <row r="6" ht="15.0" customHeight="1">
      <c r="A6" s="28" t="str">
        <f>'BSIP Reference'!A6</f>
        <v>Head &amp; Neck</v>
      </c>
      <c r="B6" s="29">
        <f>'BSIP Reference'!F6</f>
        <v>4.355</v>
      </c>
      <c r="C6" s="30"/>
      <c r="D6" s="17">
        <f t="shared" ref="D6:D15" si="1">C6-B6</f>
        <v>-4.355</v>
      </c>
      <c r="E6" s="31">
        <f>'BSIP Reference'!J6</f>
        <v>4.048</v>
      </c>
      <c r="F6" s="32"/>
      <c r="G6" s="33">
        <f t="shared" ref="G6:G15" si="2">F6-E6</f>
        <v>-4.048</v>
      </c>
      <c r="H6" s="31">
        <f>'BSIP Reference'!K6</f>
        <v>145.475</v>
      </c>
      <c r="I6" s="32"/>
      <c r="J6" s="33">
        <f t="shared" ref="J6:J15" si="3">I6-H6</f>
        <v>-145.475</v>
      </c>
      <c r="K6" s="31">
        <f>'BSIP Reference'!L6</f>
        <v>0.253</v>
      </c>
      <c r="L6" s="32"/>
      <c r="M6" s="33">
        <f t="shared" ref="M6:M15" si="4">L6-K6</f>
        <v>-0.253</v>
      </c>
      <c r="N6" s="29">
        <f>'BSIP Reference'!S6</f>
        <v>0.0234436483</v>
      </c>
      <c r="O6" s="30"/>
      <c r="P6" s="17">
        <f t="shared" ref="P6:P15" si="5">O6-N6</f>
        <v>-0.0234436483</v>
      </c>
      <c r="Q6" s="29">
        <f>'BSIP Reference'!T6</f>
        <v>0.01474636142</v>
      </c>
      <c r="R6" s="30"/>
      <c r="S6" s="17">
        <f t="shared" ref="S6:S15" si="6">R6-Q6</f>
        <v>-0.01474636142</v>
      </c>
      <c r="T6" s="29">
        <f>'BSIP Reference'!U6</f>
        <v>0.02508832755</v>
      </c>
      <c r="U6" s="30"/>
      <c r="V6" s="17">
        <f t="shared" ref="V6:V15" si="7">U6-T6</f>
        <v>-0.02508832755</v>
      </c>
      <c r="W6" s="19"/>
    </row>
    <row r="7" ht="15.0" customHeight="1">
      <c r="A7" s="28" t="str">
        <f>'BSIP Reference'!A7</f>
        <v>Thorax</v>
      </c>
      <c r="B7" s="29">
        <f>'BSIP Reference'!F7</f>
        <v>17.095</v>
      </c>
      <c r="C7" s="30"/>
      <c r="D7" s="17">
        <f t="shared" si="1"/>
        <v>-17.095</v>
      </c>
      <c r="E7" s="31">
        <f>'BSIP Reference'!J7</f>
        <v>6.573</v>
      </c>
      <c r="F7" s="32"/>
      <c r="G7" s="33">
        <f t="shared" si="2"/>
        <v>-6.573</v>
      </c>
      <c r="H7" s="31">
        <f>'BSIP Reference'!K7</f>
        <v>-165.264</v>
      </c>
      <c r="I7" s="32"/>
      <c r="J7" s="33">
        <f t="shared" si="3"/>
        <v>165.264</v>
      </c>
      <c r="K7" s="31">
        <f>'BSIP Reference'!L7</f>
        <v>0.313</v>
      </c>
      <c r="L7" s="32"/>
      <c r="M7" s="33">
        <f t="shared" si="4"/>
        <v>-0.313</v>
      </c>
      <c r="N7" s="29">
        <f>'BSIP Reference'!S7</f>
        <v>0.2547340464</v>
      </c>
      <c r="O7" s="30"/>
      <c r="P7" s="17">
        <f t="shared" si="5"/>
        <v>-0.2547340464</v>
      </c>
      <c r="Q7" s="29">
        <f>'BSIP Reference'!T7</f>
        <v>0.182383548</v>
      </c>
      <c r="R7" s="30"/>
      <c r="S7" s="17">
        <f t="shared" si="6"/>
        <v>-0.182383548</v>
      </c>
      <c r="T7" s="29">
        <f>'BSIP Reference'!U7</f>
        <v>0.2051605567</v>
      </c>
      <c r="U7" s="30"/>
      <c r="V7" s="17">
        <f t="shared" si="7"/>
        <v>-0.2051605567</v>
      </c>
      <c r="W7" s="19"/>
    </row>
    <row r="8" ht="15.0" customHeight="1">
      <c r="A8" s="28" t="str">
        <f>'BSIP Reference'!A8</f>
        <v>Abdomen</v>
      </c>
      <c r="B8" s="29">
        <f>'BSIP Reference'!F8</f>
        <v>2.665</v>
      </c>
      <c r="C8" s="30"/>
      <c r="D8" s="17">
        <f t="shared" si="1"/>
        <v>-2.665</v>
      </c>
      <c r="E8" s="31">
        <f>'BSIP Reference'!J8</f>
        <v>29.524</v>
      </c>
      <c r="F8" s="32"/>
      <c r="G8" s="33">
        <f t="shared" si="2"/>
        <v>-29.524</v>
      </c>
      <c r="H8" s="31">
        <f>'BSIP Reference'!K8</f>
        <v>-50.215</v>
      </c>
      <c r="I8" s="32"/>
      <c r="J8" s="33">
        <f t="shared" si="3"/>
        <v>50.215</v>
      </c>
      <c r="K8" s="31">
        <f>'BSIP Reference'!L8</f>
        <v>0.605</v>
      </c>
      <c r="L8" s="32"/>
      <c r="M8" s="33">
        <f t="shared" si="4"/>
        <v>-0.605</v>
      </c>
      <c r="N8" s="29">
        <f>'BSIP Reference'!S8</f>
        <v>0.01751529916</v>
      </c>
      <c r="O8" s="30"/>
      <c r="P8" s="17">
        <f t="shared" si="5"/>
        <v>-0.01751529916</v>
      </c>
      <c r="Q8" s="29">
        <f>'BSIP Reference'!T8</f>
        <v>0.02313392932</v>
      </c>
      <c r="R8" s="30"/>
      <c r="S8" s="17">
        <f t="shared" si="6"/>
        <v>-0.02313392932</v>
      </c>
      <c r="T8" s="29">
        <f>'BSIP Reference'!U8</f>
        <v>0.01180302516</v>
      </c>
      <c r="U8" s="30"/>
      <c r="V8" s="17">
        <f t="shared" si="7"/>
        <v>-0.01180302516</v>
      </c>
      <c r="W8" s="19"/>
    </row>
    <row r="9" ht="68.25" customHeight="1">
      <c r="A9" s="28" t="str">
        <f>'BSIP Reference'!A9</f>
        <v>Pelvis</v>
      </c>
      <c r="B9" s="29">
        <f>'BSIP Reference'!F9</f>
        <v>9.49</v>
      </c>
      <c r="C9" s="30"/>
      <c r="D9" s="17">
        <f t="shared" si="1"/>
        <v>-9.49</v>
      </c>
      <c r="E9" s="31">
        <f>'BSIP Reference'!J9</f>
        <v>-0.963</v>
      </c>
      <c r="F9" s="32"/>
      <c r="G9" s="33">
        <f t="shared" si="2"/>
        <v>0.963</v>
      </c>
      <c r="H9" s="31">
        <f>'BSIP Reference'!K9</f>
        <v>-24.824</v>
      </c>
      <c r="I9" s="32"/>
      <c r="J9" s="33">
        <f t="shared" si="3"/>
        <v>24.824</v>
      </c>
      <c r="K9" s="31">
        <f>'BSIP Reference'!L9</f>
        <v>0.214</v>
      </c>
      <c r="L9" s="32"/>
      <c r="M9" s="33">
        <f t="shared" si="4"/>
        <v>-0.214</v>
      </c>
      <c r="N9" s="29">
        <f>'BSIP Reference'!S9</f>
        <v>0.08997390138</v>
      </c>
      <c r="O9" s="30"/>
      <c r="P9" s="17">
        <f t="shared" si="5"/>
        <v>-0.08997390138</v>
      </c>
      <c r="Q9" s="29">
        <f>'BSIP Reference'!T9</f>
        <v>0.10865101</v>
      </c>
      <c r="R9" s="30"/>
      <c r="S9" s="17">
        <f t="shared" si="6"/>
        <v>-0.10865101</v>
      </c>
      <c r="T9" s="29">
        <f>'BSIP Reference'!U9</f>
        <v>0.06780909534</v>
      </c>
      <c r="U9" s="30"/>
      <c r="V9" s="17">
        <f t="shared" si="7"/>
        <v>-0.06780909534</v>
      </c>
      <c r="W9" s="19" t="s">
        <v>127</v>
      </c>
    </row>
    <row r="10" ht="15.0" customHeight="1">
      <c r="A10" s="28" t="str">
        <f>'BSIP Reference'!A10</f>
        <v>Upper Arm</v>
      </c>
      <c r="B10" s="29">
        <f>'BSIP Reference'!F10</f>
        <v>1.43</v>
      </c>
      <c r="C10" s="30"/>
      <c r="D10" s="17">
        <f t="shared" si="1"/>
        <v>-1.43</v>
      </c>
      <c r="E10" s="31">
        <f>'BSIP Reference'!J10</f>
        <v>-17.739</v>
      </c>
      <c r="F10" s="32"/>
      <c r="G10" s="33">
        <f t="shared" si="2"/>
        <v>17.739</v>
      </c>
      <c r="H10" s="31">
        <f>'BSIP Reference'!K10</f>
        <v>-110.322</v>
      </c>
      <c r="I10" s="32"/>
      <c r="J10" s="33">
        <f t="shared" si="3"/>
        <v>110.322</v>
      </c>
      <c r="K10" s="31">
        <f>'BSIP Reference'!L10</f>
        <v>-6.804</v>
      </c>
      <c r="L10" s="32"/>
      <c r="M10" s="33">
        <f t="shared" si="4"/>
        <v>6.804</v>
      </c>
      <c r="N10" s="29">
        <f>'BSIP Reference'!S10</f>
        <v>0.009195523623</v>
      </c>
      <c r="O10" s="30"/>
      <c r="P10" s="17">
        <f t="shared" si="5"/>
        <v>-0.009195523623</v>
      </c>
      <c r="Q10" s="29">
        <f>'BSIP Reference'!T10</f>
        <v>0.002440318023</v>
      </c>
      <c r="R10" s="30"/>
      <c r="S10" s="17">
        <f t="shared" si="6"/>
        <v>-0.002440318023</v>
      </c>
      <c r="T10" s="29">
        <f>'BSIP Reference'!U10</f>
        <v>0.009195523623</v>
      </c>
      <c r="U10" s="30"/>
      <c r="V10" s="17">
        <f t="shared" si="7"/>
        <v>-0.009195523623</v>
      </c>
      <c r="W10" s="19"/>
    </row>
    <row r="11" ht="15.0" customHeight="1">
      <c r="A11" s="28" t="str">
        <f>'BSIP Reference'!A11</f>
        <v>Forearm</v>
      </c>
      <c r="B11" s="29">
        <f>'BSIP Reference'!F11</f>
        <v>0.845</v>
      </c>
      <c r="C11" s="30"/>
      <c r="D11" s="17">
        <f t="shared" si="1"/>
        <v>-0.845</v>
      </c>
      <c r="E11" s="31">
        <f>'BSIP Reference'!J11</f>
        <v>4.607</v>
      </c>
      <c r="F11" s="32"/>
      <c r="G11" s="33">
        <f t="shared" si="2"/>
        <v>-4.607</v>
      </c>
      <c r="H11" s="31">
        <f>'BSIP Reference'!K11</f>
        <v>-122.492</v>
      </c>
      <c r="I11" s="32"/>
      <c r="J11" s="33">
        <f t="shared" si="3"/>
        <v>122.492</v>
      </c>
      <c r="K11" s="31">
        <f>'BSIP Reference'!L11</f>
        <v>-7.046</v>
      </c>
      <c r="L11" s="32"/>
      <c r="M11" s="33">
        <f t="shared" si="4"/>
        <v>7.046</v>
      </c>
      <c r="N11" s="29">
        <f>'BSIP Reference'!S11</f>
        <v>0.005963739685</v>
      </c>
      <c r="O11" s="30"/>
      <c r="P11" s="17">
        <f t="shared" si="5"/>
        <v>-0.005963739685</v>
      </c>
      <c r="Q11" s="29">
        <f>'BSIP Reference'!T11</f>
        <v>0.001216329842</v>
      </c>
      <c r="R11" s="30"/>
      <c r="S11" s="17">
        <f t="shared" si="6"/>
        <v>-0.001216329842</v>
      </c>
      <c r="T11" s="29">
        <f>'BSIP Reference'!U11</f>
        <v>0.006354702848</v>
      </c>
      <c r="U11" s="30"/>
      <c r="V11" s="17">
        <f t="shared" si="7"/>
        <v>-0.006354702848</v>
      </c>
      <c r="W11" s="19"/>
    </row>
    <row r="12" ht="15.0" customHeight="1">
      <c r="A12" s="28" t="str">
        <f>'BSIP Reference'!A12</f>
        <v>Hand</v>
      </c>
      <c r="B12" s="29">
        <f>'BSIP Reference'!F12</f>
        <v>0.845</v>
      </c>
      <c r="C12" s="30"/>
      <c r="D12" s="17">
        <f t="shared" si="1"/>
        <v>-0.845</v>
      </c>
      <c r="E12" s="31">
        <f>'BSIP Reference'!J12</f>
        <v>2.83</v>
      </c>
      <c r="F12" s="32"/>
      <c r="G12" s="33">
        <f t="shared" si="2"/>
        <v>-2.83</v>
      </c>
      <c r="H12" s="31">
        <f>'BSIP Reference'!K12</f>
        <v>-118.011</v>
      </c>
      <c r="I12" s="32"/>
      <c r="J12" s="33">
        <f t="shared" si="3"/>
        <v>118.011</v>
      </c>
      <c r="K12" s="31">
        <f>'BSIP Reference'!L12</f>
        <v>3.962</v>
      </c>
      <c r="L12" s="32"/>
      <c r="M12" s="33">
        <f t="shared" si="4"/>
        <v>-3.962</v>
      </c>
      <c r="N12" s="29">
        <f>'BSIP Reference'!S12</f>
        <v>0.005305736072</v>
      </c>
      <c r="O12" s="30"/>
      <c r="P12" s="17">
        <f t="shared" si="5"/>
        <v>-0.005305736072</v>
      </c>
      <c r="Q12" s="29">
        <f>'BSIP Reference'!T12</f>
        <v>0.0008188699805</v>
      </c>
      <c r="R12" s="30"/>
      <c r="S12" s="17">
        <f t="shared" si="6"/>
        <v>-0.0008188699805</v>
      </c>
      <c r="T12" s="29">
        <f>'BSIP Reference'!U12</f>
        <v>0.004933522445</v>
      </c>
      <c r="U12" s="30"/>
      <c r="V12" s="17">
        <f t="shared" si="7"/>
        <v>-0.004933522445</v>
      </c>
      <c r="W12" s="19"/>
    </row>
    <row r="13" ht="15.0" customHeight="1">
      <c r="A13" s="28" t="str">
        <f>'BSIP Reference'!A13</f>
        <v>Thigh</v>
      </c>
      <c r="B13" s="29">
        <f>'BSIP Reference'!F13</f>
        <v>7.995</v>
      </c>
      <c r="C13" s="30"/>
      <c r="D13" s="17">
        <f t="shared" si="1"/>
        <v>-7.995</v>
      </c>
      <c r="E13" s="31">
        <f>'BSIP Reference'!J13</f>
        <v>-17.712</v>
      </c>
      <c r="F13" s="32"/>
      <c r="G13" s="33">
        <f t="shared" si="2"/>
        <v>17.712</v>
      </c>
      <c r="H13" s="31">
        <f>'BSIP Reference'!K13</f>
        <v>-185.328</v>
      </c>
      <c r="I13" s="32"/>
      <c r="J13" s="33">
        <f t="shared" si="3"/>
        <v>185.328</v>
      </c>
      <c r="K13" s="31">
        <f>'BSIP Reference'!L13</f>
        <v>14.256</v>
      </c>
      <c r="L13" s="32"/>
      <c r="M13" s="33">
        <f t="shared" si="4"/>
        <v>-14.256</v>
      </c>
      <c r="N13" s="29">
        <f>'BSIP Reference'!S13</f>
        <v>0.1254821518</v>
      </c>
      <c r="O13" s="30"/>
      <c r="P13" s="17">
        <f t="shared" si="5"/>
        <v>-0.1254821518</v>
      </c>
      <c r="Q13" s="29">
        <f>'BSIP Reference'!T13</f>
        <v>0.0335713248</v>
      </c>
      <c r="R13" s="30"/>
      <c r="S13" s="17">
        <f t="shared" si="6"/>
        <v>-0.0335713248</v>
      </c>
      <c r="T13" s="29">
        <f>'BSIP Reference'!U13</f>
        <v>0.1342852992</v>
      </c>
      <c r="U13" s="30"/>
      <c r="V13" s="17">
        <f t="shared" si="7"/>
        <v>-0.1342852992</v>
      </c>
      <c r="W13" s="19"/>
    </row>
    <row r="14" ht="15.0" customHeight="1">
      <c r="A14" s="28" t="str">
        <f>'BSIP Reference'!A14</f>
        <v>Leg (shank)</v>
      </c>
      <c r="B14" s="29">
        <f>'BSIP Reference'!F14</f>
        <v>2.925</v>
      </c>
      <c r="C14" s="30"/>
      <c r="D14" s="17">
        <f t="shared" si="1"/>
        <v>-2.925</v>
      </c>
      <c r="E14" s="31">
        <f>'BSIP Reference'!J14</f>
        <v>-19.012</v>
      </c>
      <c r="F14" s="32"/>
      <c r="G14" s="33">
        <f t="shared" si="2"/>
        <v>19.012</v>
      </c>
      <c r="H14" s="31">
        <f>'BSIP Reference'!K14</f>
        <v>-156.752</v>
      </c>
      <c r="I14" s="32"/>
      <c r="J14" s="33">
        <f t="shared" si="3"/>
        <v>156.752</v>
      </c>
      <c r="K14" s="31">
        <f>'BSIP Reference'!L14</f>
        <v>12.028</v>
      </c>
      <c r="L14" s="32"/>
      <c r="M14" s="33">
        <f t="shared" si="4"/>
        <v>-12.028</v>
      </c>
      <c r="N14" s="29">
        <f>'BSIP Reference'!S14</f>
        <v>0.03452275008</v>
      </c>
      <c r="O14" s="30"/>
      <c r="P14" s="17">
        <f t="shared" si="5"/>
        <v>-0.03452275008</v>
      </c>
      <c r="Q14" s="29">
        <f>'BSIP Reference'!T14</f>
        <v>0.004403412</v>
      </c>
      <c r="R14" s="30"/>
      <c r="S14" s="17">
        <f t="shared" si="6"/>
        <v>-0.004403412</v>
      </c>
      <c r="T14" s="29">
        <f>'BSIP Reference'!U14</f>
        <v>0.03452275008</v>
      </c>
      <c r="U14" s="30"/>
      <c r="V14" s="17">
        <f t="shared" si="7"/>
        <v>-0.03452275008</v>
      </c>
      <c r="W14" s="19"/>
    </row>
    <row r="15" ht="15.0" customHeight="1">
      <c r="A15" s="28" t="str">
        <f>'BSIP Reference'!A15</f>
        <v>Foot</v>
      </c>
      <c r="B15" s="29">
        <f>'BSIP Reference'!F15</f>
        <v>0.65</v>
      </c>
      <c r="C15" s="30"/>
      <c r="D15" s="17">
        <f t="shared" si="1"/>
        <v>-0.65</v>
      </c>
      <c r="E15" s="31">
        <f>'BSIP Reference'!J15</f>
        <v>44.55</v>
      </c>
      <c r="F15" s="32"/>
      <c r="G15" s="33">
        <f t="shared" si="2"/>
        <v>-44.55</v>
      </c>
      <c r="H15" s="31">
        <f>'BSIP Reference'!K15</f>
        <v>-35.97</v>
      </c>
      <c r="I15" s="32"/>
      <c r="J15" s="33">
        <f t="shared" si="3"/>
        <v>35.97</v>
      </c>
      <c r="K15" s="31">
        <f>'BSIP Reference'!L15</f>
        <v>6.435</v>
      </c>
      <c r="L15" s="32"/>
      <c r="M15" s="33">
        <f t="shared" si="4"/>
        <v>-6.435</v>
      </c>
      <c r="N15" s="29">
        <f>'BSIP Reference'!S15</f>
        <v>0.000511421625</v>
      </c>
      <c r="O15" s="30"/>
      <c r="P15" s="17">
        <f t="shared" si="5"/>
        <v>-0.000511421625</v>
      </c>
      <c r="Q15" s="29">
        <f>'BSIP Reference'!T15</f>
        <v>0.002293434</v>
      </c>
      <c r="R15" s="30"/>
      <c r="S15" s="17">
        <f t="shared" si="6"/>
        <v>-0.002293434</v>
      </c>
      <c r="T15" s="29">
        <f>'BSIP Reference'!U15</f>
        <v>0.002167790625</v>
      </c>
      <c r="U15" s="30"/>
      <c r="V15" s="17">
        <f t="shared" si="7"/>
        <v>-0.002167790625</v>
      </c>
      <c r="W15" s="19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7">
    <mergeCell ref="B4:D4"/>
    <mergeCell ref="E4:G4"/>
    <mergeCell ref="H4:J4"/>
    <mergeCell ref="K4:M4"/>
    <mergeCell ref="N4:P4"/>
    <mergeCell ref="Q4:S4"/>
    <mergeCell ref="T4:V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30.0"/>
    <col customWidth="1" min="3" max="3" width="16.0"/>
    <col customWidth="1" min="4" max="4" width="30.0"/>
    <col customWidth="1" min="5" max="5" width="34.0"/>
    <col customWidth="1" min="6" max="26" width="8.71"/>
  </cols>
  <sheetData>
    <row r="1" ht="15.75" customHeight="1">
      <c r="A1" s="1" t="s">
        <v>128</v>
      </c>
      <c r="B1" s="2"/>
      <c r="C1" s="2"/>
      <c r="D1" s="2"/>
      <c r="E1" s="2"/>
    </row>
    <row r="2">
      <c r="A2" s="2"/>
      <c r="B2" s="2"/>
      <c r="C2" s="2"/>
      <c r="D2" s="2"/>
      <c r="E2" s="2"/>
    </row>
    <row r="3" ht="15.0" customHeight="1">
      <c r="A3" s="5" t="s">
        <v>129</v>
      </c>
      <c r="B3" s="6"/>
      <c r="C3" s="6"/>
      <c r="D3" s="6"/>
      <c r="E3" s="6"/>
    </row>
    <row r="4" ht="26.25" customHeight="1">
      <c r="A4" s="3" t="s">
        <v>130</v>
      </c>
      <c r="B4" s="4" t="s">
        <v>131</v>
      </c>
    </row>
    <row r="5" ht="26.25" customHeight="1">
      <c r="A5" s="3" t="s">
        <v>132</v>
      </c>
      <c r="B5" s="4" t="s">
        <v>133</v>
      </c>
    </row>
    <row r="6" ht="26.25" customHeight="1">
      <c r="A6" s="3" t="s">
        <v>134</v>
      </c>
      <c r="B6" s="4" t="s">
        <v>135</v>
      </c>
    </row>
    <row r="7" ht="26.25" customHeight="1">
      <c r="A7" s="3" t="s">
        <v>136</v>
      </c>
      <c r="B7" s="4" t="s">
        <v>137</v>
      </c>
    </row>
    <row r="8" ht="26.25" customHeight="1">
      <c r="A8" s="3" t="s">
        <v>138</v>
      </c>
      <c r="B8" s="4" t="s">
        <v>139</v>
      </c>
    </row>
    <row r="9" ht="15.0" customHeight="1">
      <c r="A9" s="3" t="s">
        <v>140</v>
      </c>
      <c r="B9" s="4" t="s">
        <v>141</v>
      </c>
    </row>
    <row r="10" ht="26.25" customHeight="1">
      <c r="A10" s="3" t="s">
        <v>142</v>
      </c>
      <c r="B10" s="4" t="s">
        <v>143</v>
      </c>
    </row>
    <row r="11">
      <c r="A11" s="2"/>
      <c r="B11" s="2"/>
      <c r="C11" s="2"/>
      <c r="D11" s="2"/>
      <c r="E11" s="2"/>
    </row>
    <row r="12" ht="15.0" customHeight="1">
      <c r="A12" s="5" t="s">
        <v>144</v>
      </c>
      <c r="B12" s="6"/>
      <c r="C12" s="6"/>
      <c r="D12" s="6"/>
      <c r="E12" s="6"/>
    </row>
    <row r="13" ht="15.0" customHeight="1">
      <c r="A13" s="12" t="s">
        <v>145</v>
      </c>
      <c r="B13" s="12" t="s">
        <v>146</v>
      </c>
      <c r="C13" s="12" t="s">
        <v>147</v>
      </c>
      <c r="D13" s="12" t="s">
        <v>148</v>
      </c>
      <c r="E13" s="12" t="s">
        <v>149</v>
      </c>
    </row>
    <row r="14" ht="26.25" customHeight="1">
      <c r="A14" s="34" t="s">
        <v>150</v>
      </c>
      <c r="B14" s="35" t="s">
        <v>151</v>
      </c>
      <c r="C14" s="35" t="s">
        <v>152</v>
      </c>
      <c r="D14" s="35" t="s">
        <v>153</v>
      </c>
      <c r="E14" s="35" t="s">
        <v>154</v>
      </c>
    </row>
    <row r="15" ht="26.25" customHeight="1">
      <c r="A15" s="34" t="s">
        <v>155</v>
      </c>
      <c r="B15" s="35" t="s">
        <v>156</v>
      </c>
      <c r="C15" s="35" t="s">
        <v>157</v>
      </c>
      <c r="D15" s="35" t="s">
        <v>158</v>
      </c>
      <c r="E15" s="35" t="s">
        <v>159</v>
      </c>
    </row>
    <row r="16" ht="26.25" customHeight="1">
      <c r="A16" s="34" t="s">
        <v>160</v>
      </c>
      <c r="B16" s="35" t="s">
        <v>161</v>
      </c>
      <c r="C16" s="35" t="s">
        <v>162</v>
      </c>
      <c r="D16" s="35" t="s">
        <v>163</v>
      </c>
      <c r="E16" s="35" t="s">
        <v>164</v>
      </c>
    </row>
    <row r="17" ht="26.25" customHeight="1">
      <c r="A17" s="34" t="s">
        <v>165</v>
      </c>
      <c r="B17" s="35" t="s">
        <v>166</v>
      </c>
      <c r="C17" s="35" t="s">
        <v>167</v>
      </c>
      <c r="D17" s="35" t="s">
        <v>168</v>
      </c>
      <c r="E17" s="35" t="s">
        <v>169</v>
      </c>
    </row>
    <row r="18" ht="26.25" customHeight="1">
      <c r="A18" s="34" t="s">
        <v>170</v>
      </c>
      <c r="B18" s="35" t="s">
        <v>171</v>
      </c>
      <c r="C18" s="35" t="s">
        <v>172</v>
      </c>
      <c r="D18" s="35" t="s">
        <v>173</v>
      </c>
      <c r="E18" s="35" t="s">
        <v>174</v>
      </c>
    </row>
    <row r="19" ht="26.25" customHeight="1">
      <c r="A19" s="34" t="s">
        <v>175</v>
      </c>
      <c r="B19" s="35" t="s">
        <v>176</v>
      </c>
      <c r="C19" s="35" t="s">
        <v>177</v>
      </c>
      <c r="D19" s="35" t="s">
        <v>178</v>
      </c>
      <c r="E19" s="35" t="s">
        <v>179</v>
      </c>
    </row>
    <row r="20" ht="26.25" customHeight="1">
      <c r="A20" s="34" t="s">
        <v>180</v>
      </c>
      <c r="B20" s="35" t="s">
        <v>181</v>
      </c>
      <c r="C20" s="35" t="s">
        <v>182</v>
      </c>
      <c r="D20" s="35" t="s">
        <v>183</v>
      </c>
      <c r="E20" s="35" t="s">
        <v>184</v>
      </c>
    </row>
    <row r="21" ht="26.25" customHeight="1">
      <c r="A21" s="34" t="s">
        <v>185</v>
      </c>
      <c r="B21" s="35" t="s">
        <v>186</v>
      </c>
      <c r="C21" s="35" t="s">
        <v>187</v>
      </c>
      <c r="D21" s="35" t="s">
        <v>188</v>
      </c>
      <c r="E21" s="35" t="s">
        <v>189</v>
      </c>
    </row>
    <row r="22" ht="15.75" customHeight="1">
      <c r="A22" s="2"/>
      <c r="B22" s="2"/>
      <c r="C22" s="2"/>
      <c r="D22" s="2"/>
      <c r="E22" s="2"/>
    </row>
    <row r="23" ht="15.0" customHeight="1">
      <c r="A23" s="5" t="s">
        <v>190</v>
      </c>
      <c r="B23" s="6"/>
      <c r="C23" s="6"/>
      <c r="D23" s="6"/>
      <c r="E23" s="6"/>
    </row>
    <row r="24" ht="26.25" customHeight="1">
      <c r="A24" s="3" t="s">
        <v>191</v>
      </c>
      <c r="B24" s="4" t="s">
        <v>192</v>
      </c>
    </row>
    <row r="25" ht="26.25" customHeight="1">
      <c r="A25" s="3" t="s">
        <v>193</v>
      </c>
      <c r="B25" s="4" t="s">
        <v>194</v>
      </c>
    </row>
    <row r="26" ht="15.0" customHeight="1">
      <c r="A26" s="3" t="s">
        <v>17</v>
      </c>
      <c r="B26" s="4" t="s">
        <v>195</v>
      </c>
    </row>
    <row r="27" ht="15.0" customHeight="1">
      <c r="A27" s="3" t="s">
        <v>196</v>
      </c>
      <c r="B27" s="4" t="s">
        <v>197</v>
      </c>
    </row>
    <row r="28" ht="26.25" customHeight="1">
      <c r="A28" s="3" t="s">
        <v>8</v>
      </c>
      <c r="B28" s="4" t="s">
        <v>198</v>
      </c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mergeCells count="12">
    <mergeCell ref="B24:E24"/>
    <mergeCell ref="B25:E25"/>
    <mergeCell ref="B26:E26"/>
    <mergeCell ref="B27:E27"/>
    <mergeCell ref="B28:E28"/>
    <mergeCell ref="B4:E4"/>
    <mergeCell ref="B5:E5"/>
    <mergeCell ref="B6:E6"/>
    <mergeCell ref="B7:E7"/>
    <mergeCell ref="B8:E8"/>
    <mergeCell ref="B9:E9"/>
    <mergeCell ref="B10:E1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0"/>
    <col customWidth="1" min="2" max="3" width="12.0"/>
    <col customWidth="1" min="4" max="4" width="20.0"/>
    <col customWidth="1" min="5" max="5" width="26.0"/>
    <col customWidth="1" min="6" max="6" width="16.0"/>
    <col customWidth="1" min="7" max="7" width="26.0"/>
    <col customWidth="1" min="8" max="8" width="24.0"/>
    <col customWidth="1" min="9" max="9" width="26.0"/>
    <col customWidth="1" min="10" max="10" width="14.0"/>
    <col customWidth="1" min="11" max="12" width="22.0"/>
    <col customWidth="1" min="13" max="13" width="30.0"/>
    <col customWidth="1" min="14" max="14" width="14.0"/>
    <col customWidth="1" min="15" max="26" width="8.71"/>
  </cols>
  <sheetData>
    <row r="1" ht="26.25" customHeight="1">
      <c r="A1" s="12" t="s">
        <v>199</v>
      </c>
      <c r="B1" s="12" t="s">
        <v>200</v>
      </c>
      <c r="C1" s="12" t="s">
        <v>201</v>
      </c>
      <c r="D1" s="12" t="s">
        <v>202</v>
      </c>
      <c r="E1" s="12" t="s">
        <v>203</v>
      </c>
      <c r="F1" s="12" t="s">
        <v>204</v>
      </c>
      <c r="G1" s="12" t="s">
        <v>205</v>
      </c>
      <c r="H1" s="12" t="s">
        <v>206</v>
      </c>
      <c r="I1" s="12" t="s">
        <v>207</v>
      </c>
      <c r="J1" s="12" t="s">
        <v>208</v>
      </c>
      <c r="K1" s="12" t="s">
        <v>193</v>
      </c>
      <c r="L1" s="12" t="s">
        <v>209</v>
      </c>
      <c r="M1" s="12" t="s">
        <v>210</v>
      </c>
      <c r="N1" s="12" t="s">
        <v>145</v>
      </c>
    </row>
    <row r="2" ht="26.25" customHeight="1">
      <c r="A2" s="36" t="s">
        <v>211</v>
      </c>
      <c r="B2" s="37" t="s">
        <v>97</v>
      </c>
      <c r="C2" s="37" t="s">
        <v>106</v>
      </c>
      <c r="D2" s="38" t="s">
        <v>212</v>
      </c>
      <c r="E2" s="39" t="s">
        <v>213</v>
      </c>
      <c r="F2" s="39" t="s">
        <v>214</v>
      </c>
      <c r="G2" s="39" t="s">
        <v>215</v>
      </c>
      <c r="H2" s="39" t="s">
        <v>216</v>
      </c>
      <c r="I2" s="39" t="s">
        <v>217</v>
      </c>
      <c r="J2" s="39" t="s">
        <v>218</v>
      </c>
      <c r="K2" s="39" t="s">
        <v>219</v>
      </c>
      <c r="L2" s="39" t="s">
        <v>220</v>
      </c>
      <c r="M2" s="39" t="s">
        <v>221</v>
      </c>
      <c r="N2" s="38" t="s">
        <v>222</v>
      </c>
    </row>
    <row r="3" ht="26.25" customHeight="1">
      <c r="A3" s="36" t="s">
        <v>223</v>
      </c>
      <c r="B3" s="37" t="s">
        <v>106</v>
      </c>
      <c r="C3" s="37" t="s">
        <v>108</v>
      </c>
      <c r="D3" s="38" t="s">
        <v>224</v>
      </c>
      <c r="E3" s="39" t="s">
        <v>225</v>
      </c>
      <c r="F3" s="39" t="s">
        <v>226</v>
      </c>
      <c r="G3" s="39" t="s">
        <v>227</v>
      </c>
      <c r="H3" s="39" t="s">
        <v>228</v>
      </c>
      <c r="I3" s="39" t="s">
        <v>229</v>
      </c>
      <c r="J3" s="39" t="s">
        <v>230</v>
      </c>
      <c r="K3" s="39" t="s">
        <v>231</v>
      </c>
      <c r="L3" s="39" t="s">
        <v>232</v>
      </c>
      <c r="M3" s="40" t="s">
        <v>233</v>
      </c>
      <c r="N3" s="38" t="s">
        <v>160</v>
      </c>
    </row>
    <row r="4" ht="26.25" customHeight="1">
      <c r="A4" s="36" t="s">
        <v>234</v>
      </c>
      <c r="B4" s="37" t="s">
        <v>108</v>
      </c>
      <c r="C4" s="37" t="s">
        <v>110</v>
      </c>
      <c r="D4" s="38" t="s">
        <v>235</v>
      </c>
      <c r="E4" s="39" t="s">
        <v>236</v>
      </c>
      <c r="F4" s="39" t="s">
        <v>237</v>
      </c>
      <c r="G4" s="39" t="s">
        <v>238</v>
      </c>
      <c r="H4" s="39" t="s">
        <v>239</v>
      </c>
      <c r="I4" s="39" t="s">
        <v>240</v>
      </c>
      <c r="J4" s="39" t="s">
        <v>241</v>
      </c>
      <c r="K4" s="39" t="s">
        <v>242</v>
      </c>
      <c r="L4" s="39" t="s">
        <v>243</v>
      </c>
      <c r="M4" s="40" t="s">
        <v>244</v>
      </c>
      <c r="N4" s="38" t="s">
        <v>245</v>
      </c>
    </row>
    <row r="5" ht="26.25" customHeight="1">
      <c r="A5" s="36" t="s">
        <v>246</v>
      </c>
      <c r="B5" s="37" t="s">
        <v>97</v>
      </c>
      <c r="C5" s="37" t="s">
        <v>95</v>
      </c>
      <c r="D5" s="38" t="s">
        <v>247</v>
      </c>
      <c r="E5" s="39" t="s">
        <v>248</v>
      </c>
      <c r="F5" s="39" t="s">
        <v>249</v>
      </c>
      <c r="G5" s="39" t="s">
        <v>250</v>
      </c>
      <c r="H5" s="39" t="s">
        <v>251</v>
      </c>
      <c r="I5" s="39" t="s">
        <v>252</v>
      </c>
      <c r="J5" s="39" t="s">
        <v>253</v>
      </c>
      <c r="K5" s="39" t="s">
        <v>254</v>
      </c>
      <c r="L5" s="39" t="s">
        <v>255</v>
      </c>
      <c r="M5" s="40" t="s">
        <v>256</v>
      </c>
      <c r="N5" s="38" t="s">
        <v>257</v>
      </c>
    </row>
    <row r="6" ht="26.25" customHeight="1">
      <c r="A6" s="36" t="s">
        <v>258</v>
      </c>
      <c r="B6" s="37" t="s">
        <v>95</v>
      </c>
      <c r="C6" s="37" t="s">
        <v>92</v>
      </c>
      <c r="D6" s="38" t="s">
        <v>259</v>
      </c>
      <c r="E6" s="39" t="s">
        <v>260</v>
      </c>
      <c r="F6" s="39" t="s">
        <v>261</v>
      </c>
      <c r="G6" s="39" t="s">
        <v>250</v>
      </c>
      <c r="H6" s="39" t="s">
        <v>251</v>
      </c>
      <c r="I6" s="39" t="s">
        <v>252</v>
      </c>
      <c r="J6" s="39" t="s">
        <v>253</v>
      </c>
      <c r="K6" s="39" t="s">
        <v>254</v>
      </c>
      <c r="L6" s="39" t="s">
        <v>255</v>
      </c>
      <c r="M6" s="40" t="s">
        <v>262</v>
      </c>
      <c r="N6" s="38" t="s">
        <v>263</v>
      </c>
    </row>
    <row r="7" ht="26.25" customHeight="1">
      <c r="A7" s="36" t="s">
        <v>264</v>
      </c>
      <c r="B7" s="37" t="s">
        <v>92</v>
      </c>
      <c r="C7" s="37" t="s">
        <v>89</v>
      </c>
      <c r="D7" s="38" t="s">
        <v>265</v>
      </c>
      <c r="E7" s="39" t="s">
        <v>266</v>
      </c>
      <c r="F7" s="39" t="s">
        <v>267</v>
      </c>
      <c r="G7" s="39" t="s">
        <v>250</v>
      </c>
      <c r="H7" s="39" t="s">
        <v>251</v>
      </c>
      <c r="I7" s="39" t="s">
        <v>252</v>
      </c>
      <c r="J7" s="39" t="s">
        <v>253</v>
      </c>
      <c r="K7" s="39" t="s">
        <v>254</v>
      </c>
      <c r="L7" s="39" t="s">
        <v>255</v>
      </c>
      <c r="M7" s="40" t="s">
        <v>268</v>
      </c>
      <c r="N7" s="38" t="s">
        <v>257</v>
      </c>
    </row>
    <row r="8" ht="26.25" customHeight="1">
      <c r="A8" s="36" t="s">
        <v>269</v>
      </c>
      <c r="B8" s="37" t="s">
        <v>92</v>
      </c>
      <c r="C8" s="37" t="s">
        <v>100</v>
      </c>
      <c r="D8" s="38" t="s">
        <v>270</v>
      </c>
      <c r="E8" s="41"/>
      <c r="F8" s="41"/>
      <c r="G8" s="41"/>
      <c r="H8" s="41"/>
      <c r="I8" s="41"/>
      <c r="J8" s="41"/>
      <c r="K8" s="41"/>
      <c r="L8" s="41"/>
      <c r="M8" s="40"/>
      <c r="N8" s="38" t="s">
        <v>271</v>
      </c>
    </row>
    <row r="9" ht="26.25" customHeight="1">
      <c r="A9" s="36" t="s">
        <v>272</v>
      </c>
      <c r="B9" s="37" t="s">
        <v>100</v>
      </c>
      <c r="C9" s="37" t="s">
        <v>102</v>
      </c>
      <c r="D9" s="38" t="s">
        <v>224</v>
      </c>
      <c r="E9" s="41"/>
      <c r="F9" s="41"/>
      <c r="G9" s="41"/>
      <c r="H9" s="41"/>
      <c r="I9" s="41"/>
      <c r="J9" s="41"/>
      <c r="K9" s="41"/>
      <c r="L9" s="41"/>
      <c r="M9" s="40"/>
      <c r="N9" s="38" t="s">
        <v>273</v>
      </c>
    </row>
    <row r="10" ht="26.25" customHeight="1">
      <c r="A10" s="36" t="s">
        <v>274</v>
      </c>
      <c r="B10" s="37" t="s">
        <v>102</v>
      </c>
      <c r="C10" s="37" t="s">
        <v>104</v>
      </c>
      <c r="D10" s="38" t="s">
        <v>275</v>
      </c>
      <c r="E10" s="41"/>
      <c r="F10" s="41"/>
      <c r="G10" s="41"/>
      <c r="H10" s="41"/>
      <c r="I10" s="41"/>
      <c r="J10" s="41"/>
      <c r="K10" s="41"/>
      <c r="L10" s="41"/>
      <c r="M10" s="40"/>
      <c r="N10" s="38" t="s">
        <v>273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5.0" customHeight="1">
      <c r="A12" s="9" t="s">
        <v>276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0"/>
    <col customWidth="1" min="2" max="2" width="20.0"/>
    <col customWidth="1" min="3" max="3" width="14.0"/>
    <col customWidth="1" min="4" max="4" width="11.0"/>
    <col customWidth="1" min="5" max="5" width="14.0"/>
    <col customWidth="1" min="6" max="6" width="11.0"/>
    <col customWidth="1" min="7" max="7" width="22.0"/>
    <col customWidth="1" min="8" max="8" width="10.0"/>
    <col customWidth="1" min="9" max="9" width="11.0"/>
    <col customWidth="1" min="10" max="10" width="13.0"/>
    <col customWidth="1" min="11" max="11" width="34.0"/>
    <col customWidth="1" min="12" max="26" width="8.71"/>
  </cols>
  <sheetData>
    <row r="1" ht="39.0" customHeight="1">
      <c r="A1" s="12" t="s">
        <v>199</v>
      </c>
      <c r="B1" s="12" t="s">
        <v>277</v>
      </c>
      <c r="C1" s="12" t="s">
        <v>278</v>
      </c>
      <c r="D1" s="12" t="s">
        <v>279</v>
      </c>
      <c r="E1" s="12" t="s">
        <v>280</v>
      </c>
      <c r="F1" s="12" t="s">
        <v>281</v>
      </c>
      <c r="G1" s="12" t="s">
        <v>282</v>
      </c>
      <c r="H1" s="12" t="s">
        <v>283</v>
      </c>
      <c r="I1" s="12" t="s">
        <v>284</v>
      </c>
      <c r="J1" s="12" t="s">
        <v>285</v>
      </c>
      <c r="K1" s="12" t="s">
        <v>88</v>
      </c>
    </row>
    <row r="2" ht="15.0" customHeight="1">
      <c r="A2" s="36" t="s">
        <v>211</v>
      </c>
      <c r="B2" s="38" t="s">
        <v>286</v>
      </c>
      <c r="C2" s="37" t="s">
        <v>287</v>
      </c>
      <c r="D2" s="42">
        <v>133.8</v>
      </c>
      <c r="E2" s="43" t="s">
        <v>288</v>
      </c>
      <c r="F2" s="42">
        <v>67.0</v>
      </c>
      <c r="G2" s="43" t="s">
        <v>289</v>
      </c>
      <c r="H2" s="16"/>
      <c r="I2" s="16"/>
      <c r="J2" s="33">
        <f t="shared" ref="J2:J24" si="1">IF(AND(ISNUMBER(D2),ISNUMBER(F2)),D2-F2,"")</f>
        <v>66.8</v>
      </c>
      <c r="K2" s="40" t="s">
        <v>290</v>
      </c>
    </row>
    <row r="3" ht="15.0" customHeight="1">
      <c r="A3" s="36" t="s">
        <v>211</v>
      </c>
      <c r="B3" s="38" t="s">
        <v>291</v>
      </c>
      <c r="C3" s="37" t="s">
        <v>287</v>
      </c>
      <c r="D3" s="42">
        <v>18.1</v>
      </c>
      <c r="E3" s="43" t="s">
        <v>288</v>
      </c>
      <c r="F3" s="43" t="s">
        <v>292</v>
      </c>
      <c r="G3" s="43" t="s">
        <v>293</v>
      </c>
      <c r="H3" s="16"/>
      <c r="I3" s="16"/>
      <c r="J3" s="33" t="str">
        <f t="shared" si="1"/>
        <v/>
      </c>
      <c r="K3" s="40" t="s">
        <v>294</v>
      </c>
    </row>
    <row r="4" ht="15.0" customHeight="1">
      <c r="A4" s="36" t="s">
        <v>211</v>
      </c>
      <c r="B4" s="38" t="s">
        <v>295</v>
      </c>
      <c r="C4" s="37" t="s">
        <v>296</v>
      </c>
      <c r="D4" s="16"/>
      <c r="E4" s="16"/>
      <c r="F4" s="16"/>
      <c r="G4" s="16"/>
      <c r="H4" s="16"/>
      <c r="I4" s="16"/>
      <c r="J4" s="33" t="str">
        <f t="shared" si="1"/>
        <v/>
      </c>
      <c r="K4" s="40" t="s">
        <v>297</v>
      </c>
    </row>
    <row r="5" ht="15.0" customHeight="1">
      <c r="A5" s="36" t="s">
        <v>211</v>
      </c>
      <c r="B5" s="38" t="s">
        <v>298</v>
      </c>
      <c r="C5" s="37" t="s">
        <v>296</v>
      </c>
      <c r="D5" s="16"/>
      <c r="E5" s="16"/>
      <c r="F5" s="16"/>
      <c r="G5" s="16"/>
      <c r="H5" s="16"/>
      <c r="I5" s="16"/>
      <c r="J5" s="33" t="str">
        <f t="shared" si="1"/>
        <v/>
      </c>
      <c r="K5" s="40" t="s">
        <v>299</v>
      </c>
    </row>
    <row r="6" ht="15.0" customHeight="1">
      <c r="A6" s="36" t="s">
        <v>211</v>
      </c>
      <c r="B6" s="38" t="s">
        <v>300</v>
      </c>
      <c r="C6" s="37" t="s">
        <v>301</v>
      </c>
      <c r="D6" s="16"/>
      <c r="E6" s="16"/>
      <c r="F6" s="16"/>
      <c r="G6" s="16"/>
      <c r="H6" s="16"/>
      <c r="I6" s="16"/>
      <c r="J6" s="33" t="str">
        <f t="shared" si="1"/>
        <v/>
      </c>
      <c r="K6" s="40" t="s">
        <v>302</v>
      </c>
    </row>
    <row r="7" ht="15.0" customHeight="1">
      <c r="A7" s="36" t="s">
        <v>211</v>
      </c>
      <c r="B7" s="38" t="s">
        <v>303</v>
      </c>
      <c r="C7" s="37" t="s">
        <v>301</v>
      </c>
      <c r="D7" s="16"/>
      <c r="E7" s="16"/>
      <c r="F7" s="16"/>
      <c r="G7" s="16"/>
      <c r="H7" s="16"/>
      <c r="I7" s="16"/>
      <c r="J7" s="33" t="str">
        <f t="shared" si="1"/>
        <v/>
      </c>
      <c r="K7" s="40" t="s">
        <v>299</v>
      </c>
    </row>
    <row r="8" ht="15.0" customHeight="1">
      <c r="A8" s="36" t="s">
        <v>223</v>
      </c>
      <c r="B8" s="38" t="s">
        <v>286</v>
      </c>
      <c r="C8" s="37" t="s">
        <v>287</v>
      </c>
      <c r="D8" s="42">
        <v>141.9</v>
      </c>
      <c r="E8" s="43" t="s">
        <v>288</v>
      </c>
      <c r="F8" s="42">
        <v>95.0</v>
      </c>
      <c r="G8" s="43" t="s">
        <v>293</v>
      </c>
      <c r="H8" s="16"/>
      <c r="I8" s="16"/>
      <c r="J8" s="33">
        <f t="shared" si="1"/>
        <v>46.9</v>
      </c>
      <c r="K8" s="40" t="s">
        <v>304</v>
      </c>
    </row>
    <row r="9" ht="15.0" customHeight="1">
      <c r="A9" s="36" t="s">
        <v>223</v>
      </c>
      <c r="B9" s="38" t="s">
        <v>291</v>
      </c>
      <c r="C9" s="37" t="s">
        <v>287</v>
      </c>
      <c r="D9" s="42">
        <v>1.6</v>
      </c>
      <c r="E9" s="43" t="s">
        <v>288</v>
      </c>
      <c r="F9" s="43" t="s">
        <v>305</v>
      </c>
      <c r="G9" s="43" t="s">
        <v>293</v>
      </c>
      <c r="H9" s="16"/>
      <c r="I9" s="16"/>
      <c r="J9" s="33" t="str">
        <f t="shared" si="1"/>
        <v/>
      </c>
      <c r="K9" s="40" t="s">
        <v>306</v>
      </c>
    </row>
    <row r="10" ht="68.25" customHeight="1">
      <c r="A10" s="36" t="s">
        <v>307</v>
      </c>
      <c r="B10" s="38" t="s">
        <v>308</v>
      </c>
      <c r="C10" s="37" t="s">
        <v>287</v>
      </c>
      <c r="D10" s="42">
        <v>13.8</v>
      </c>
      <c r="E10" s="43" t="s">
        <v>288</v>
      </c>
      <c r="F10" s="44">
        <v>18.0</v>
      </c>
      <c r="G10" s="45" t="s">
        <v>293</v>
      </c>
      <c r="H10" s="46">
        <v>25.0</v>
      </c>
      <c r="I10" s="10" t="s">
        <v>309</v>
      </c>
      <c r="J10" s="33">
        <f t="shared" si="1"/>
        <v>-4.2</v>
      </c>
      <c r="K10" s="40" t="s">
        <v>310</v>
      </c>
    </row>
    <row r="11" ht="15.0" customHeight="1">
      <c r="A11" s="36" t="s">
        <v>307</v>
      </c>
      <c r="B11" s="38" t="s">
        <v>311</v>
      </c>
      <c r="C11" s="37" t="s">
        <v>287</v>
      </c>
      <c r="D11" s="42">
        <v>62.1</v>
      </c>
      <c r="E11" s="43" t="s">
        <v>288</v>
      </c>
      <c r="F11" s="42">
        <v>28.0</v>
      </c>
      <c r="G11" s="43" t="s">
        <v>293</v>
      </c>
      <c r="H11" s="16"/>
      <c r="I11" s="16"/>
      <c r="J11" s="33">
        <f t="shared" si="1"/>
        <v>34.1</v>
      </c>
      <c r="K11" s="40" t="s">
        <v>312</v>
      </c>
    </row>
    <row r="12" ht="15.0" customHeight="1">
      <c r="A12" s="36" t="s">
        <v>307</v>
      </c>
      <c r="B12" s="38" t="s">
        <v>313</v>
      </c>
      <c r="C12" s="37" t="s">
        <v>296</v>
      </c>
      <c r="D12" s="16"/>
      <c r="E12" s="16"/>
      <c r="F12" s="16"/>
      <c r="G12" s="16"/>
      <c r="H12" s="16"/>
      <c r="I12" s="16"/>
      <c r="J12" s="33" t="str">
        <f t="shared" si="1"/>
        <v/>
      </c>
      <c r="K12" s="40" t="s">
        <v>314</v>
      </c>
    </row>
    <row r="13" ht="15.0" customHeight="1">
      <c r="A13" s="36" t="s">
        <v>307</v>
      </c>
      <c r="B13" s="38" t="s">
        <v>315</v>
      </c>
      <c r="C13" s="37" t="s">
        <v>296</v>
      </c>
      <c r="D13" s="16"/>
      <c r="E13" s="16"/>
      <c r="F13" s="16"/>
      <c r="G13" s="16"/>
      <c r="H13" s="16"/>
      <c r="I13" s="16"/>
      <c r="J13" s="33" t="str">
        <f t="shared" si="1"/>
        <v/>
      </c>
      <c r="K13" s="40" t="s">
        <v>299</v>
      </c>
    </row>
    <row r="14" ht="15.0" customHeight="1">
      <c r="A14" s="36" t="s">
        <v>316</v>
      </c>
      <c r="B14" s="38" t="s">
        <v>286</v>
      </c>
      <c r="C14" s="37" t="s">
        <v>287</v>
      </c>
      <c r="D14" s="16"/>
      <c r="E14" s="16"/>
      <c r="F14" s="16"/>
      <c r="G14" s="16"/>
      <c r="H14" s="16"/>
      <c r="I14" s="16"/>
      <c r="J14" s="33" t="str">
        <f t="shared" si="1"/>
        <v/>
      </c>
      <c r="K14" s="40" t="s">
        <v>317</v>
      </c>
    </row>
    <row r="15" ht="15.0" customHeight="1">
      <c r="A15" s="36" t="s">
        <v>316</v>
      </c>
      <c r="B15" s="38" t="s">
        <v>291</v>
      </c>
      <c r="C15" s="37" t="s">
        <v>287</v>
      </c>
      <c r="D15" s="16"/>
      <c r="E15" s="16"/>
      <c r="F15" s="16"/>
      <c r="G15" s="16"/>
      <c r="H15" s="16"/>
      <c r="I15" s="16"/>
      <c r="J15" s="33" t="str">
        <f t="shared" si="1"/>
        <v/>
      </c>
      <c r="K15" s="40" t="s">
        <v>318</v>
      </c>
    </row>
    <row r="16" ht="15.0" customHeight="1">
      <c r="A16" s="36" t="s">
        <v>316</v>
      </c>
      <c r="B16" s="38" t="s">
        <v>319</v>
      </c>
      <c r="C16" s="37" t="s">
        <v>296</v>
      </c>
      <c r="D16" s="16"/>
      <c r="E16" s="16"/>
      <c r="F16" s="16"/>
      <c r="G16" s="16"/>
      <c r="H16" s="16"/>
      <c r="I16" s="16"/>
      <c r="J16" s="33" t="str">
        <f t="shared" si="1"/>
        <v/>
      </c>
      <c r="K16" s="40" t="s">
        <v>318</v>
      </c>
    </row>
    <row r="17" ht="15.0" customHeight="1">
      <c r="A17" s="36" t="s">
        <v>316</v>
      </c>
      <c r="B17" s="38" t="s">
        <v>320</v>
      </c>
      <c r="C17" s="37" t="s">
        <v>301</v>
      </c>
      <c r="D17" s="16"/>
      <c r="E17" s="16"/>
      <c r="F17" s="16"/>
      <c r="G17" s="16"/>
      <c r="H17" s="16"/>
      <c r="I17" s="16"/>
      <c r="J17" s="33" t="str">
        <f t="shared" si="1"/>
        <v/>
      </c>
      <c r="K17" s="40" t="s">
        <v>318</v>
      </c>
    </row>
    <row r="18" ht="15.0" customHeight="1">
      <c r="A18" s="36" t="s">
        <v>321</v>
      </c>
      <c r="B18" s="38" t="s">
        <v>286</v>
      </c>
      <c r="C18" s="37" t="s">
        <v>287</v>
      </c>
      <c r="D18" s="42">
        <v>172.0</v>
      </c>
      <c r="E18" s="43" t="s">
        <v>288</v>
      </c>
      <c r="F18" s="16"/>
      <c r="G18" s="16"/>
      <c r="H18" s="16"/>
      <c r="I18" s="16"/>
      <c r="J18" s="33" t="str">
        <f t="shared" si="1"/>
        <v/>
      </c>
      <c r="K18" s="40" t="s">
        <v>322</v>
      </c>
    </row>
    <row r="19" ht="15.0" customHeight="1">
      <c r="A19" s="36" t="s">
        <v>321</v>
      </c>
      <c r="B19" s="38" t="s">
        <v>291</v>
      </c>
      <c r="C19" s="37" t="s">
        <v>287</v>
      </c>
      <c r="D19" s="16"/>
      <c r="E19" s="16"/>
      <c r="F19" s="16"/>
      <c r="G19" s="16"/>
      <c r="H19" s="16"/>
      <c r="I19" s="16"/>
      <c r="J19" s="33" t="str">
        <f t="shared" si="1"/>
        <v/>
      </c>
      <c r="K19" s="40" t="s">
        <v>323</v>
      </c>
    </row>
    <row r="20" ht="15.0" customHeight="1">
      <c r="A20" s="36" t="s">
        <v>321</v>
      </c>
      <c r="B20" s="38" t="s">
        <v>295</v>
      </c>
      <c r="C20" s="37" t="s">
        <v>296</v>
      </c>
      <c r="D20" s="16"/>
      <c r="E20" s="16"/>
      <c r="F20" s="16"/>
      <c r="G20" s="16"/>
      <c r="H20" s="16"/>
      <c r="I20" s="16"/>
      <c r="J20" s="33" t="str">
        <f t="shared" si="1"/>
        <v/>
      </c>
      <c r="K20" s="40" t="s">
        <v>324</v>
      </c>
    </row>
    <row r="21" ht="15.0" customHeight="1">
      <c r="A21" s="36" t="s">
        <v>272</v>
      </c>
      <c r="B21" s="38" t="s">
        <v>286</v>
      </c>
      <c r="C21" s="37" t="s">
        <v>287</v>
      </c>
      <c r="D21" s="42">
        <v>150.0</v>
      </c>
      <c r="E21" s="43" t="s">
        <v>288</v>
      </c>
      <c r="F21" s="16"/>
      <c r="G21" s="16"/>
      <c r="H21" s="16"/>
      <c r="I21" s="16"/>
      <c r="J21" s="33" t="str">
        <f t="shared" si="1"/>
        <v/>
      </c>
      <c r="K21" s="40" t="s">
        <v>325</v>
      </c>
    </row>
    <row r="22" ht="15.0" customHeight="1">
      <c r="A22" s="36" t="s">
        <v>272</v>
      </c>
      <c r="B22" s="38" t="s">
        <v>291</v>
      </c>
      <c r="C22" s="37" t="s">
        <v>287</v>
      </c>
      <c r="D22" s="42">
        <v>4.7</v>
      </c>
      <c r="E22" s="43" t="s">
        <v>288</v>
      </c>
      <c r="F22" s="16"/>
      <c r="G22" s="16"/>
      <c r="H22" s="16"/>
      <c r="I22" s="16"/>
      <c r="J22" s="33" t="str">
        <f t="shared" si="1"/>
        <v/>
      </c>
      <c r="K22" s="40" t="s">
        <v>326</v>
      </c>
    </row>
    <row r="23" ht="15.0" customHeight="1">
      <c r="A23" s="36" t="s">
        <v>274</v>
      </c>
      <c r="B23" s="38" t="s">
        <v>286</v>
      </c>
      <c r="C23" s="37" t="s">
        <v>287</v>
      </c>
      <c r="D23" s="16"/>
      <c r="E23" s="16"/>
      <c r="F23" s="16"/>
      <c r="G23" s="16"/>
      <c r="H23" s="16"/>
      <c r="I23" s="16"/>
      <c r="J23" s="33" t="str">
        <f t="shared" si="1"/>
        <v/>
      </c>
      <c r="K23" s="40" t="s">
        <v>327</v>
      </c>
    </row>
    <row r="24" ht="15.0" customHeight="1">
      <c r="A24" s="36" t="s">
        <v>274</v>
      </c>
      <c r="B24" s="38" t="s">
        <v>291</v>
      </c>
      <c r="C24" s="37" t="s">
        <v>287</v>
      </c>
      <c r="D24" s="16"/>
      <c r="E24" s="16"/>
      <c r="F24" s="16"/>
      <c r="G24" s="16"/>
      <c r="H24" s="16"/>
      <c r="I24" s="16"/>
      <c r="J24" s="33" t="str">
        <f t="shared" si="1"/>
        <v/>
      </c>
      <c r="K24" s="40" t="s">
        <v>299</v>
      </c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5.0" customHeight="1">
      <c r="A26" s="9" t="s">
        <v>328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1.0" footer="0.0" header="0.0" left="0.75" right="0.75" top="1.0"/>
  <pageSetup paperSize="9" orientation="portrait"/>
  <drawing r:id="rId1"/>
</worksheet>
</file>